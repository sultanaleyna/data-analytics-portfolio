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agram Ads Raw Data" sheetId="1" r:id="rId5"/>
    <sheet state="visible" name="IG Ads Performance Metrics" sheetId="2" r:id="rId6"/>
    <sheet state="visible" name="Pivot Table 3" sheetId="3" r:id="rId7"/>
    <sheet state="visible" name="Summary" sheetId="4" r:id="rId8"/>
    <sheet state="visible" name="IG Ads Monthly" sheetId="5" r:id="rId9"/>
    <sheet state="visible" name="TikTok Ads Raw Data" sheetId="6" r:id="rId10"/>
    <sheet state="visible" name="TikTok Ads Performance Metrics" sheetId="7" r:id="rId11"/>
    <sheet state="visible" name="TikTok Ads Monthly" sheetId="8" r:id="rId12"/>
  </sheets>
  <definedNames/>
  <calcPr/>
  <pivotCaches>
    <pivotCache cacheId="0" r:id="rId13"/>
  </pivotCaches>
</workbook>
</file>

<file path=xl/sharedStrings.xml><?xml version="1.0" encoding="utf-8"?>
<sst xmlns="http://schemas.openxmlformats.org/spreadsheetml/2006/main" count="81" uniqueCount="53">
  <si>
    <t>Date</t>
  </si>
  <si>
    <t>Impressions</t>
  </si>
  <si>
    <t>Clicks</t>
  </si>
  <si>
    <t>Spending ($)</t>
  </si>
  <si>
    <t>Conversions</t>
  </si>
  <si>
    <t>Revenue ($)</t>
  </si>
  <si>
    <t>Month</t>
  </si>
  <si>
    <t>SUM of Impressions</t>
  </si>
  <si>
    <t>SUM of Clicks</t>
  </si>
  <si>
    <t>SUM of Spending ($)</t>
  </si>
  <si>
    <t>SUM of Conversions</t>
  </si>
  <si>
    <t>SUM of Revenue ($)</t>
  </si>
  <si>
    <t>CTR</t>
  </si>
  <si>
    <t>Conversion Rate</t>
  </si>
  <si>
    <t>Cpm</t>
  </si>
  <si>
    <t>Cpc</t>
  </si>
  <si>
    <t>Avg Conversion value</t>
  </si>
  <si>
    <t>roas</t>
  </si>
  <si>
    <t>Grand Total</t>
  </si>
  <si>
    <t>A</t>
  </si>
  <si>
    <t>instagram</t>
  </si>
  <si>
    <t>tiktok</t>
  </si>
  <si>
    <t>Bu yıl bu reklam kanalına toplam ne kadar harcadık</t>
  </si>
  <si>
    <t>Toplam kaç tıklama elde ettik?</t>
  </si>
  <si>
    <t>Toplam kaç gösterim elde ettik?</t>
  </si>
  <si>
    <t>Ortalama Tıklama Başına Maliyet (CPC) nedir?</t>
  </si>
  <si>
    <t>Ortalama CPM nedir?</t>
  </si>
  <si>
    <t>Bu yıl kaç conversion (dönüşüm) elde ettik?</t>
  </si>
  <si>
    <t>Ortalama conversion başına maliyet nedir?</t>
  </si>
  <si>
    <t>Bu yıl bu reklam kanalından elde edilen gelir ne kadar?</t>
  </si>
  <si>
    <t>Bu yılki ROAS nedir?</t>
  </si>
  <si>
    <t>Bütçemizin çoğunu hangi ayda harcadık?</t>
  </si>
  <si>
    <t>Aralık</t>
  </si>
  <si>
    <t>En çok conversion hangi ayda elde ettik?</t>
  </si>
  <si>
    <t>En çok geliri hangi ayda elde ettik?</t>
  </si>
  <si>
    <t>Temmuz</t>
  </si>
  <si>
    <t>En yüksek gelirli ay için CPC ne?</t>
  </si>
  <si>
    <t>En yüksek gelirli ay için CPM ne?</t>
  </si>
  <si>
    <t>O ay için ortalama conversion başına gelir ne?</t>
  </si>
  <si>
    <r>
      <rPr>
        <rFont val="Arial"/>
        <b/>
        <color rgb="FF0000FF"/>
        <sz val="14.0"/>
      </rPr>
      <t xml:space="preserve">KANAL KARŞILAŞTIRMASI
</t>
    </r>
    <r>
      <rPr>
        <rFont val="Arial"/>
        <color theme="1"/>
        <sz val="12.0"/>
      </rPr>
      <t xml:space="preserve">
</t>
    </r>
    <r>
      <rPr>
        <rFont val="Arial"/>
        <color rgb="FF0000FF"/>
        <sz val="12.0"/>
      </rPr>
      <t>Hangi kanala daha fazla para harcıyoruz?</t>
    </r>
    <r>
      <rPr>
        <rFont val="Arial"/>
        <color theme="1"/>
        <sz val="12.0"/>
      </rPr>
      <t xml:space="preserve">
Instagram. Instagram harcaması $624,905, TikTok harcaması $510,905.
</t>
    </r>
    <r>
      <rPr>
        <rFont val="Arial"/>
        <color rgb="FF0000FF"/>
        <sz val="12.0"/>
      </rPr>
      <t>Hangi kanal en iyi performansı gösteriyor?</t>
    </r>
    <r>
      <rPr>
        <rFont val="Arial"/>
        <color theme="1"/>
        <sz val="12.0"/>
      </rPr>
      <t xml:space="preserve">
TikTok. Daha düşük harcamayla daha fazla tıklama, conversion ve gelir elde ediyor. TikTok ROAS 2.98x, Instagram ROAS 1.94x.
</t>
    </r>
    <r>
      <rPr>
        <rFont val="Arial"/>
        <color rgb="FF0000FF"/>
        <sz val="12.0"/>
      </rPr>
      <t>İki kanal iyi performanslarını aynı aylarda mı gösteriyor?</t>
    </r>
    <r>
      <rPr>
        <rFont val="Arial"/>
        <color theme="1"/>
        <sz val="12.0"/>
      </rPr>
      <t xml:space="preserve">
Hayır, tamamen aynı aylarda değil. TikTok en yüksek gelire Temmuz ayında, en yüksek conversion sayısına Aralık ayında ulaştı. Instagram'da ise hem en yüksek gelir hem de en yüksek conversion Aralık ayında gerçekleşti.
</t>
    </r>
    <r>
      <rPr>
        <rFont val="Arial"/>
        <color rgb="FF0000FF"/>
        <sz val="12.0"/>
      </rPr>
      <t>Bütçe ve strateji önerileri</t>
    </r>
    <r>
      <rPr>
        <rFont val="Arial"/>
        <color theme="1"/>
        <sz val="12.0"/>
      </rPr>
      <t xml:space="preserve">
• Bütçenin bir kısmı Instagram'dan TikTok'a kaydırılabilir.
• TikTok'ta başarılı olan kampanya stratejileri incelenerek güçlü dönemlerde tekrar uygulanabilir.
• Instagram tamamen bırakılmamalı; ancak performansına göre bütçesi optimize edilmeli.
• İki kanalın aylık performansı düzenli karşılaştırılarak bütçe daha verimli dönemlere kaydırılabilir</t>
    </r>
    <r>
      <rPr>
        <rFont val="Arial"/>
        <color theme="1"/>
      </rPr>
      <t>.</t>
    </r>
  </si>
  <si>
    <t>Spending</t>
  </si>
  <si>
    <t>Revenue</t>
  </si>
  <si>
    <t>submit_date</t>
  </si>
  <si>
    <t>impressions</t>
  </si>
  <si>
    <t>clicks</t>
  </si>
  <si>
    <t>spending ($)</t>
  </si>
  <si>
    <t>conversions</t>
  </si>
  <si>
    <t>revenue ($)</t>
  </si>
  <si>
    <t>month</t>
  </si>
  <si>
    <t>CPM</t>
  </si>
  <si>
    <t>CPC</t>
  </si>
  <si>
    <t>Avg Conversion Value</t>
  </si>
  <si>
    <t>ROAS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</si>
</sst>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quot;$&quot;#,##0"/>
    <numFmt numFmtId="166" formatCode="&quot;$&quot;#,##0.00"/>
  </numFmts>
  <fonts count="10">
    <font>
      <sz val="10.0"/>
      <color rgb="FF000000"/>
      <name val="Arial"/>
      <scheme val="minor"/>
    </font>
    <font>
      <color theme="1"/>
      <name val="Arial"/>
      <scheme val="minor"/>
    </font>
    <font>
      <b/>
      <color theme="1"/>
      <name val="Arial"/>
      <scheme val="minor"/>
    </font>
    <font>
      <b/>
      <sz val="14.0"/>
      <color rgb="FF000000"/>
      <name val="Arial"/>
      <scheme val="minor"/>
    </font>
    <font>
      <color rgb="FF000000"/>
      <name val="Arial"/>
      <scheme val="minor"/>
    </font>
    <font>
      <sz val="14.0"/>
      <color rgb="FF000000"/>
      <name val="Outfit"/>
    </font>
    <font>
      <sz val="14.0"/>
      <color theme="1"/>
      <name val="Arial"/>
      <scheme val="minor"/>
    </font>
    <font>
      <b/>
      <sz val="13.0"/>
      <color theme="1"/>
      <name val="Arial"/>
      <scheme val="minor"/>
    </font>
    <font>
      <b/>
      <sz val="11.0"/>
      <color theme="1"/>
      <name val="Arial"/>
      <scheme val="minor"/>
    </font>
    <font>
      <sz val="13.0"/>
      <color theme="1"/>
      <name val="Arial"/>
      <scheme val="minor"/>
    </font>
  </fonts>
  <fills count="5">
    <fill>
      <patternFill patternType="none"/>
    </fill>
    <fill>
      <patternFill patternType="lightGray"/>
    </fill>
    <fill>
      <patternFill patternType="solid">
        <fgColor rgb="FFC9DAF8"/>
        <bgColor rgb="FFC9DAF8"/>
      </patternFill>
    </fill>
    <fill>
      <patternFill patternType="solid">
        <fgColor rgb="FF00FFFF"/>
        <bgColor rgb="FF00FFFF"/>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Font="1"/>
    <xf borderId="0" fillId="0" fontId="2" numFmtId="0" xfId="0" applyFont="1"/>
    <xf borderId="1" fillId="2" fontId="2" numFmtId="10" xfId="0" applyAlignment="1" applyBorder="1" applyFill="1" applyFont="1" applyNumberFormat="1">
      <alignment horizontal="center" readingOrder="0"/>
    </xf>
    <xf borderId="1" fillId="2" fontId="2" numFmtId="166" xfId="0" applyAlignment="1" applyBorder="1" applyFill="1" applyFont="1" applyNumberFormat="1">
      <alignment horizontal="center" readingOrder="0"/>
    </xf>
    <xf borderId="1" fillId="2" fontId="2" numFmtId="0" xfId="0" applyAlignment="1" applyBorder="1" applyFill="1" applyFont="1">
      <alignment horizontal="center" readingOrder="0"/>
    </xf>
    <xf borderId="0" fillId="0" fontId="1" numFmtId="164" xfId="0" applyFont="1" applyNumberFormat="1"/>
    <xf borderId="0" fillId="0" fontId="1" numFmtId="165" xfId="0" applyFont="1" applyNumberFormat="1"/>
    <xf borderId="0" fillId="0" fontId="1" numFmtId="10" xfId="0" applyFont="1" applyNumberFormat="1"/>
    <xf borderId="0" fillId="0" fontId="1" numFmtId="166" xfId="0" applyFont="1" applyNumberFormat="1"/>
    <xf borderId="0" fillId="0" fontId="2" numFmtId="0" xfId="0" applyAlignment="1" applyFont="1">
      <alignment readingOrder="0"/>
    </xf>
    <xf borderId="0" fillId="3" fontId="3" numFmtId="0" xfId="0" applyAlignment="1" applyFill="1" applyFont="1">
      <alignment horizontal="center" readingOrder="0"/>
    </xf>
    <xf borderId="0" fillId="3" fontId="3" numFmtId="0" xfId="0" applyAlignment="1" applyFill="1" applyFont="1">
      <alignment horizontal="right" readingOrder="0"/>
    </xf>
    <xf borderId="0" fillId="3" fontId="4" numFmtId="0" xfId="0" applyFill="1" applyFont="1"/>
    <xf borderId="0" fillId="4" fontId="5" numFmtId="0" xfId="0" applyAlignment="1" applyFill="1" applyFont="1">
      <alignment readingOrder="0"/>
    </xf>
    <xf borderId="0" fillId="0" fontId="6" numFmtId="165" xfId="0" applyAlignment="1" applyFont="1" applyNumberFormat="1">
      <alignment horizontal="right"/>
    </xf>
    <xf borderId="0" fillId="0" fontId="6" numFmtId="0" xfId="0" applyAlignment="1" applyFont="1">
      <alignment horizontal="right"/>
    </xf>
    <xf borderId="0" fillId="0" fontId="6" numFmtId="166" xfId="0" applyAlignment="1" applyFont="1" applyNumberFormat="1">
      <alignment horizontal="right" readingOrder="0"/>
    </xf>
    <xf borderId="0" fillId="0" fontId="6" numFmtId="166" xfId="0" applyAlignment="1" applyFont="1" applyNumberFormat="1">
      <alignment horizontal="right"/>
    </xf>
    <xf borderId="0" fillId="0" fontId="6" numFmtId="0" xfId="0" applyAlignment="1" applyFont="1">
      <alignment horizontal="right" readingOrder="0"/>
    </xf>
    <xf borderId="0" fillId="0" fontId="6" numFmtId="0" xfId="0" applyAlignment="1" applyFont="1">
      <alignment readingOrder="0"/>
    </xf>
    <xf borderId="0" fillId="0" fontId="6" numFmtId="166" xfId="0" applyAlignment="1" applyFont="1" applyNumberFormat="1">
      <alignment horizontal="right" readingOrder="0"/>
    </xf>
    <xf borderId="0" fillId="0" fontId="1" numFmtId="0" xfId="0" applyAlignment="1" applyFont="1">
      <alignment horizontal="right"/>
    </xf>
    <xf borderId="0" fillId="3" fontId="7" numFmtId="0" xfId="0" applyAlignment="1" applyFill="1" applyFont="1">
      <alignment horizontal="center" readingOrder="0"/>
    </xf>
    <xf borderId="0" fillId="3" fontId="7" numFmtId="1" xfId="0" applyAlignment="1" applyFill="1" applyFont="1" applyNumberFormat="1">
      <alignment horizontal="center" readingOrder="0"/>
    </xf>
    <xf borderId="0" fillId="3" fontId="7" numFmtId="165" xfId="0" applyAlignment="1" applyFill="1" applyFont="1" applyNumberFormat="1">
      <alignment horizontal="center" readingOrder="0"/>
    </xf>
    <xf borderId="0" fillId="3" fontId="8" numFmtId="0" xfId="0" applyAlignment="1" applyFill="1" applyFont="1">
      <alignment horizontal="center"/>
    </xf>
    <xf borderId="0" fillId="0" fontId="9" numFmtId="0" xfId="0" applyAlignment="1" applyFont="1">
      <alignment readingOrder="0"/>
    </xf>
    <xf borderId="0" fillId="0" fontId="9" numFmtId="0" xfId="0" applyFont="1"/>
    <xf borderId="0" fillId="0" fontId="9" numFmtId="1" xfId="0" applyFont="1" applyNumberFormat="1"/>
    <xf borderId="0" fillId="0" fontId="9" numFmtId="165" xfId="0" applyFont="1" applyNumberFormat="1"/>
    <xf borderId="0" fillId="0" fontId="1" numFmtId="1" xfId="0" applyFont="1" applyNumberFormat="1"/>
    <xf borderId="0" fillId="0" fontId="1" numFmtId="14" xfId="0" applyFont="1" applyNumberFormat="1"/>
    <xf borderId="0" fillId="0" fontId="1"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366" sheet="Instagram Ads Raw Data"/>
  </cacheSource>
  <cacheFields>
    <cacheField name="Date" numFmtId="164">
      <sharedItems containsSemiMixedTypes="0" containsDate="1" containsString="0">
        <d v="2025-01-01T00:00:00Z"/>
        <d v="2025-01-02T00:00:00Z"/>
        <d v="2025-01-03T00:00:00Z"/>
        <d v="2025-01-04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d v="2025-03-31T00:00:00Z"/>
        <d v="2025-04-01T00:00:00Z"/>
        <d v="2025-04-02T00:00:00Z"/>
        <d v="2025-04-03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2T00:00:00Z"/>
        <d v="2025-06-03T00:00:00Z"/>
        <d v="2025-06-04T00:00:00Z"/>
        <d v="2025-06-05T00:00:00Z"/>
        <d v="2025-06-06T00:00:00Z"/>
        <d v="2025-06-07T00:00:00Z"/>
        <d v="2025-06-08T00:00:00Z"/>
        <d v="2025-06-09T00:00:00Z"/>
        <d v="2025-06-10T00:00:00Z"/>
        <d v="2025-06-11T00:00:00Z"/>
        <d v="2025-06-12T00:00:00Z"/>
        <d v="2025-06-13T00:00:00Z"/>
        <d v="2025-06-14T00:00:00Z"/>
        <d v="2025-06-15T00:00:00Z"/>
        <d v="2025-06-16T00:00:00Z"/>
        <d v="2025-06-17T00:00:00Z"/>
        <d v="2025-06-18T00:00:00Z"/>
        <d v="2025-06-19T00:00:00Z"/>
        <d v="2025-06-20T00:00:00Z"/>
        <d v="2025-06-21T00:00:00Z"/>
        <d v="2025-06-22T00:00:00Z"/>
        <d v="2025-06-23T00:00:00Z"/>
        <d v="2025-06-24T00:00:00Z"/>
        <d v="2025-06-25T00:00:00Z"/>
        <d v="2025-06-26T00:00:00Z"/>
        <d v="2025-06-27T00:00:00Z"/>
        <d v="2025-06-28T00:00:00Z"/>
        <d v="2025-06-29T00:00:00Z"/>
        <d v="2025-06-30T00:00:00Z"/>
        <d v="2025-07-01T00:00:00Z"/>
        <d v="2025-07-02T00:00:00Z"/>
        <d v="2025-07-03T00:00:00Z"/>
        <d v="2025-07-04T00:00:00Z"/>
        <d v="2025-07-05T00:00:00Z"/>
        <d v="2025-07-06T00:00:00Z"/>
        <d v="2025-07-07T00:00:00Z"/>
        <d v="2025-07-08T00:00:00Z"/>
        <d v="2025-07-09T00:00:00Z"/>
        <d v="2025-07-10T00:00:00Z"/>
        <d v="2025-07-11T00:00:00Z"/>
        <d v="2025-07-12T00:00:00Z"/>
        <d v="2025-07-13T00:00:00Z"/>
        <d v="2025-07-14T00:00:00Z"/>
        <d v="2025-07-15T00:00:00Z"/>
        <d v="2025-07-16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2T00:00:00Z"/>
        <d v="2025-08-13T00:00:00Z"/>
        <d v="2025-08-14T00:00:00Z"/>
        <d v="2025-08-15T00:00:00Z"/>
        <d v="2025-08-16T00:00:00Z"/>
        <d v="2025-08-17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0T00:00:00Z"/>
        <d v="2025-10-21T00:00:00Z"/>
        <d v="2025-10-22T00:00:00Z"/>
        <d v="2025-10-23T00:00:00Z"/>
        <d v="2025-10-24T00:00:00Z"/>
        <d v="2025-10-25T00:00:00Z"/>
        <d v="2025-10-26T00:00:00Z"/>
        <d v="2025-10-27T00:00:00Z"/>
        <d v="2025-10-28T00:00:00Z"/>
        <d v="2025-10-29T00:00:00Z"/>
        <d v="2025-10-30T00:00:00Z"/>
        <d v="2025-10-31T00:00:00Z"/>
        <d v="2025-11-01T00:00:00Z"/>
        <d v="2025-11-02T00:00:00Z"/>
        <d v="2025-11-03T00:00:00Z"/>
        <d v="2025-11-04T00:00:00Z"/>
        <d v="2025-11-05T00:00:00Z"/>
        <d v="2025-11-06T00:00:00Z"/>
        <d v="2025-11-07T00:00:00Z"/>
        <d v="2025-11-08T00:00:00Z"/>
        <d v="2025-11-09T00:00:00Z"/>
        <d v="2025-11-10T00:00:00Z"/>
        <d v="2025-11-11T00:00:00Z"/>
        <d v="2025-11-12T00:00:00Z"/>
        <d v="2025-11-13T00:00:00Z"/>
        <d v="2025-11-14T00:00:00Z"/>
        <d v="2025-11-15T00:00:00Z"/>
        <d v="2025-11-16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sharedItems>
    </cacheField>
    <cacheField name="Impressions" numFmtId="0">
      <sharedItems containsSemiMixedTypes="0" containsString="0" containsNumber="1" containsInteger="1">
        <n v="27382.0"/>
        <n v="99168.0"/>
        <n v="14891.0"/>
        <n v="42989.0"/>
        <n v="36381.0"/>
        <n v="56836.0"/>
        <n v="45926.0"/>
        <n v="43071.0"/>
        <n v="82343.0"/>
        <n v="76027.0"/>
        <n v="80956.0"/>
        <n v="68072.0"/>
        <n v="97608.0"/>
        <n v="68669.0"/>
        <n v="65250.0"/>
        <n v="20589.0"/>
        <n v="92484.0"/>
        <n v="56463.0"/>
        <n v="70426.0"/>
        <n v="70773.0"/>
        <n v="62871.0"/>
        <n v="37897.0"/>
        <n v="12972.0"/>
        <n v="71010.0"/>
        <n v="43205.0"/>
        <n v="27299.0"/>
        <n v="25667.0"/>
        <n v="69148.0"/>
        <n v="28266.0"/>
        <n v="47724.0"/>
        <n v="77744.0"/>
        <n v="99439.0"/>
        <n v="29408.0"/>
        <n v="27715.0"/>
        <n v="15515.0"/>
        <n v="70280.0"/>
        <n v="81872.0"/>
        <n v="81286.0"/>
        <n v="77915.0"/>
        <n v="60396.0"/>
        <n v="43446.0"/>
        <n v="70724.0"/>
        <n v="85306.0"/>
        <n v="23751.0"/>
        <n v="82792.0"/>
        <n v="68924.0"/>
        <n v="13626.0"/>
        <n v="10725.0"/>
        <n v="50562.0"/>
        <n v="27479.0"/>
        <n v="75592.0"/>
        <n v="91898.0"/>
        <n v="61770.0"/>
        <n v="82545.0"/>
        <n v="16999.0"/>
        <n v="61190.0"/>
        <n v="89019.0"/>
        <n v="42261.0"/>
        <n v="14686.0"/>
        <n v="74275.0"/>
        <n v="43481.0"/>
        <n v="24107.0"/>
        <n v="34969.0"/>
        <n v="56378.0"/>
        <n v="57170.0"/>
        <n v="26837.0"/>
        <n v="81804.0"/>
        <n v="69650.0"/>
        <n v="88162.0"/>
        <n v="35355.0"/>
        <n v="90027.0"/>
        <n v="25328.0"/>
        <n v="59348.0"/>
        <n v="24427.0"/>
        <n v="23408.0"/>
        <n v="48565.0"/>
        <n v="37692.0"/>
        <n v="29345.0"/>
        <n v="86428.0"/>
        <n v="29192.0"/>
        <n v="35448.0"/>
        <n v="101862.0"/>
        <n v="10360.0"/>
        <n v="74045.0"/>
        <n v="24404.0"/>
        <n v="77058.0"/>
        <n v="14522.0"/>
        <n v="76056.0"/>
        <n v="62405.0"/>
        <n v="48371.0"/>
        <n v="66192.0"/>
        <n v="89399.0"/>
        <n v="25304.0"/>
        <n v="65507.0"/>
        <n v="19085.0"/>
        <n v="93702.0"/>
        <n v="77462.0"/>
        <n v="88889.0"/>
        <n v="52248.0"/>
        <n v="50253.0"/>
        <n v="69120.0"/>
        <n v="89518.0"/>
        <n v="22275.0"/>
        <n v="81832.0"/>
        <n v="93408.0"/>
        <n v="23712.0"/>
        <n v="82162.0"/>
        <n v="100916.0"/>
        <n v="20494.0"/>
        <n v="47284.0"/>
        <n v="78176.0"/>
        <n v="89388.0"/>
        <n v="77748.0"/>
        <n v="94167.0"/>
        <n v="47093.0"/>
        <n v="74564.0"/>
        <n v="24692.0"/>
        <n v="62217.0"/>
        <n v="43646.0"/>
        <n v="71389.0"/>
        <n v="12921.0"/>
        <n v="103581.0"/>
        <n v="54332.0"/>
        <n v="55120.0"/>
        <n v="96681.0"/>
        <n v="49655.0"/>
        <n v="63861.0"/>
        <n v="21459.0"/>
        <n v="84694.0"/>
        <n v="67730.0"/>
        <n v="11298.0"/>
        <n v="29109.0"/>
        <n v="44468.0"/>
        <n v="90661.0"/>
        <n v="16417.0"/>
        <n v="58031.0"/>
        <n v="47140.0"/>
        <n v="90411.0"/>
        <n v="66203.0"/>
        <n v="76395.0"/>
        <n v="91812.0"/>
        <n v="58771.0"/>
        <n v="75641.0"/>
        <n v="92985.0"/>
        <n v="66186.0"/>
        <n v="78687.0"/>
        <n v="30424.0"/>
        <n v="70366.0"/>
        <n v="62817.0"/>
        <n v="38503.0"/>
        <n v="22102.0"/>
        <n v="50120.0"/>
        <n v="93058.0"/>
        <n v="25134.0"/>
        <n v="54615.0"/>
        <n v="62835.0"/>
        <n v="76734.0"/>
        <n v="71613.0"/>
        <n v="91004.0"/>
        <n v="43271.0"/>
        <n v="82193.0"/>
        <n v="94018.0"/>
        <n v="18365.0"/>
        <n v="40263.0"/>
        <n v="63312.0"/>
        <n v="77585.0"/>
        <n v="87900.0"/>
        <n v="30114.0"/>
        <n v="30566.0"/>
        <n v="43028.0"/>
        <n v="58773.0"/>
        <n v="72129.0"/>
        <n v="82176.0"/>
        <n v="65342.0"/>
        <n v="65538.0"/>
        <n v="30692.0"/>
        <n v="74313.0"/>
        <n v="27726.0"/>
        <n v="23031.0"/>
        <n v="27504.0"/>
        <n v="41452.0"/>
        <n v="84189.0"/>
        <n v="25428.0"/>
        <n v="61279.0"/>
        <n v="71106.0"/>
        <n v="88949.0"/>
        <n v="26132.0"/>
        <n v="43244.0"/>
        <n v="75861.0"/>
        <n v="53933.0"/>
        <n v="49348.0"/>
        <n v="82290.0"/>
        <n v="88328.0"/>
        <n v="39140.0"/>
        <n v="51534.0"/>
        <n v="66793.0"/>
        <n v="78188.0"/>
        <n v="45734.0"/>
        <n v="73680.0"/>
        <n v="30301.0"/>
        <n v="30343.0"/>
        <n v="21615.0"/>
        <n v="21183.0"/>
        <n v="16435.0"/>
        <n v="86669.0"/>
        <n v="41574.0"/>
        <n v="18458.0"/>
        <n v="50558.0"/>
        <n v="82330.0"/>
        <n v="39166.0"/>
        <n v="50849.0"/>
        <n v="37335.0"/>
        <n v="51942.0"/>
        <n v="52511.0"/>
        <n v="72199.0"/>
        <n v="41541.0"/>
        <n v="37318.0"/>
        <n v="44137.0"/>
        <n v="58673.0"/>
        <n v="106960.0"/>
        <n v="35706.0"/>
        <n v="52249.0"/>
        <n v="80576.0"/>
        <n v="17630.0"/>
        <n v="53805.0"/>
        <n v="87678.0"/>
        <n v="67967.0"/>
        <n v="28092.0"/>
        <n v="95908.0"/>
        <n v="78748.0"/>
        <n v="11723.0"/>
        <n v="13511.0"/>
        <n v="11744.0"/>
        <n v="55379.0"/>
        <n v="92269.0"/>
        <n v="24200.0"/>
        <n v="94898.0"/>
        <n v="82128.0"/>
        <n v="59574.0"/>
        <n v="24834.0"/>
        <n v="52708.0"/>
        <n v="15425.0"/>
        <n v="71281.0"/>
        <n v="86224.0"/>
        <n v="54980.0"/>
        <n v="20759.0"/>
        <n v="88745.0"/>
        <n v="90562.0"/>
        <n v="31457.0"/>
        <n v="16887.0"/>
        <n v="52594.0"/>
        <n v="16880.0"/>
        <n v="66692.0"/>
        <n v="61970.0"/>
        <n v="48632.0"/>
        <n v="91672.0"/>
        <n v="81449.0"/>
        <n v="51464.0"/>
        <n v="52154.0"/>
        <n v="31475.0"/>
        <n v="12277.0"/>
        <n v="13766.0"/>
        <n v="10679.0"/>
        <n v="83585.0"/>
        <n v="85216.0"/>
        <n v="24444.0"/>
        <n v="51143.0"/>
        <n v="66440.0"/>
        <n v="65236.0"/>
        <n v="43894.0"/>
        <n v="14553.0"/>
        <n v="28284.0"/>
        <n v="42083.0"/>
        <n v="61042.0"/>
        <n v="76058.0"/>
        <n v="92404.0"/>
        <n v="87773.0"/>
        <n v="45616.0"/>
        <n v="51574.0"/>
        <n v="19918.0"/>
        <n v="91666.0"/>
        <n v="61157.0"/>
        <n v="82264.0"/>
        <n v="65303.0"/>
        <n v="18331.0"/>
        <n v="91113.0"/>
        <n v="35818.0"/>
        <n v="53530.0"/>
        <n v="55679.0"/>
        <n v="46054.0"/>
        <n v="24167.0"/>
        <n v="15830.0"/>
        <n v="77941.0"/>
        <n v="86583.0"/>
        <n v="63208.0"/>
        <n v="53761.0"/>
        <n v="19823.0"/>
        <n v="73157.0"/>
        <n v="17151.0"/>
        <n v="47443.0"/>
        <n v="56847.0"/>
        <n v="103800.0"/>
        <n v="61699.0"/>
        <n v="43734.0"/>
        <n v="18145.0"/>
        <n v="95605.0"/>
        <n v="12276.0"/>
        <n v="13289.0"/>
        <n v="20703.0"/>
        <n v="91303.0"/>
        <n v="35422.0"/>
        <n v="86793.0"/>
        <n v="70545.0"/>
        <n v="21885.0"/>
        <n v="34153.0"/>
        <n v="55954.0"/>
        <n v="101056.0"/>
        <n v="78238.0"/>
        <n v="73143.0"/>
        <n v="59011.0"/>
        <n v="68100.0"/>
        <n v="72521.0"/>
        <n v="61360.0"/>
        <n v="79103.0"/>
        <n v="24707.0"/>
        <n v="90610.0"/>
        <n v="65307.0"/>
        <n v="48991.0"/>
        <n v="17772.0"/>
        <n v="15340.0"/>
        <n v="14040.0"/>
        <n v="76119.0"/>
        <n v="27517.0"/>
        <n v="38969.0"/>
        <n v="106305.0"/>
        <n v="86838.0"/>
        <n v="63290.0"/>
        <n v="110538.0"/>
        <n v="78543.0"/>
        <n v="69466.0"/>
        <n v="104688.0"/>
        <n v="75437.0"/>
        <n v="45951.0"/>
        <n v="67590.0"/>
        <n v="34901.0"/>
        <n v="117250.0"/>
        <n v="23580.0"/>
        <n v="118209.0"/>
        <n v="88263.0"/>
        <n v="47023.0"/>
        <n v="92320.0"/>
        <n v="75577.0"/>
        <n v="97231.0"/>
        <n v="22728.0"/>
        <n v="67243.0"/>
        <n v="68598.0"/>
        <n v="72214.0"/>
        <n v="101958.0"/>
        <n v="28717.0"/>
        <n v="98027.0"/>
        <n v="93487.0"/>
        <n v="56358.0"/>
        <n v="46415.0"/>
        <n v="83988.0"/>
      </sharedItems>
    </cacheField>
    <cacheField name="Clicks" numFmtId="0">
      <sharedItems containsSemiMixedTypes="0" containsString="0" containsNumber="1" containsInteger="1">
        <n v="483.0"/>
        <n v="1561.0"/>
        <n v="273.0"/>
        <n v="682.0"/>
        <n v="559.0"/>
        <n v="1129.0"/>
        <n v="1145.0"/>
        <n v="356.0"/>
        <n v="1867.0"/>
        <n v="1249.0"/>
        <n v="733.0"/>
        <n v="1332.0"/>
        <n v="1947.0"/>
        <n v="1236.0"/>
        <n v="2003.0"/>
        <n v="580.0"/>
        <n v="2150.0"/>
        <n v="776.0"/>
        <n v="952.0"/>
        <n v="1454.0"/>
        <n v="482.0"/>
        <n v="156.0"/>
        <n v="1165.0"/>
        <n v="1321.0"/>
        <n v="352.0"/>
        <n v="378.0"/>
        <n v="679.0"/>
        <n v="781.0"/>
        <n v="1392.0"/>
        <n v="1438.0"/>
        <n v="2594.0"/>
        <n v="413.0"/>
        <n v="667.0"/>
        <n v="403.0"/>
        <n v="2077.0"/>
        <n v="931.0"/>
        <n v="2201.0"/>
        <n v="915.0"/>
        <n v="1697.0"/>
        <n v="1905.0"/>
        <n v="1671.0"/>
        <n v="534.0"/>
        <n v="1948.0"/>
        <n v="1909.0"/>
        <n v="196.0"/>
        <n v="175.0"/>
        <n v="684.0"/>
        <n v="637.0"/>
        <n v="1183.0"/>
        <n v="974.0"/>
        <n v="829.0"/>
        <n v="945.0"/>
        <n v="452.0"/>
        <n v="812.0"/>
        <n v="2171.0"/>
        <n v="1269.0"/>
        <n v="165.0"/>
        <n v="1230.0"/>
        <n v="1411.0"/>
        <n v="617.0"/>
        <n v="519.0"/>
        <n v="1345.0"/>
        <n v="1375.0"/>
        <n v="591.0"/>
        <n v="1809.0"/>
        <n v="2180.0"/>
        <n v="1931.0"/>
        <n v="736.0"/>
        <n v="1414.0"/>
        <n v="474.0"/>
        <n v="660.0"/>
        <n v="324.0"/>
        <n v="502.0"/>
        <n v="1530.0"/>
        <n v="658.0"/>
        <n v="596.0"/>
        <n v="883.0"/>
        <n v="749.0"/>
        <n v="970.0"/>
        <n v="1741.0"/>
        <n v="135.0"/>
        <n v="1860.0"/>
        <n v="565.0"/>
        <n v="1055.0"/>
        <n v="289.0"/>
        <n v="2246.0"/>
        <n v="825.0"/>
        <n v="717.0"/>
        <n v="1091.0"/>
        <n v="1766.0"/>
        <n v="310.0"/>
        <n v="2071.0"/>
        <n v="446.0"/>
        <n v="2289.0"/>
        <n v="2048.0"/>
        <n v="600.0"/>
        <n v="842.0"/>
        <n v="2081.0"/>
        <n v="1740.0"/>
        <n v="437.0"/>
        <n v="1096.0"/>
        <n v="1841.0"/>
        <n v="342.0"/>
        <n v="1007.0"/>
        <n v="1972.0"/>
        <n v="411.0"/>
        <n v="707.0"/>
        <n v="2261.0"/>
        <n v="1918.0"/>
        <n v="2094.0"/>
        <n v="1058.0"/>
        <n v="1075.0"/>
        <n v="963.0"/>
        <n v="530.0"/>
        <n v="758.0"/>
        <n v="865.0"/>
        <n v="1246.0"/>
        <n v="236.0"/>
        <n v="1340.0"/>
        <n v="1428.0"/>
        <n v="1418.0"/>
        <n v="1609.0"/>
        <n v="1000.0"/>
        <n v="1700.0"/>
        <n v="453.0"/>
        <n v="2083.0"/>
        <n v="2042.0"/>
        <n v="221.0"/>
        <n v="838.0"/>
        <n v="833.0"/>
        <n v="1514.0"/>
        <n v="375.0"/>
        <n v="1173.0"/>
        <n v="914.0"/>
        <n v="1358.0"/>
        <n v="1881.0"/>
        <n v="837.0"/>
        <n v="1149.0"/>
        <n v="613.0"/>
        <n v="1049.0"/>
        <n v="1003.0"/>
        <n v="1708.0"/>
        <n v="2106.0"/>
        <n v="705.0"/>
        <n v="2205.0"/>
        <n v="1155.0"/>
        <n v="1107.0"/>
        <n v="335.0"/>
        <n v="1288.0"/>
        <n v="1684.0"/>
        <n v="578.0"/>
        <n v="1112.0"/>
        <n v="1859.0"/>
        <n v="2013.0"/>
        <n v="604.0"/>
        <n v="2477.0"/>
        <n v="400.0"/>
        <n v="1219.0"/>
        <n v="1142.0"/>
        <n v="2126.0"/>
        <n v="2531.0"/>
        <n v="461.0"/>
        <n v="337.0"/>
        <n v="1283.0"/>
        <n v="2156.0"/>
        <n v="2279.0"/>
        <n v="958.0"/>
        <n v="828.0"/>
        <n v="485.0"/>
        <n v="1239.0"/>
        <n v="713.0"/>
        <n v="477.0"/>
        <n v="419.0"/>
        <n v="843.0"/>
        <n v="2352.0"/>
        <n v="1182.0"/>
        <n v="1243.0"/>
        <n v="2286.0"/>
        <n v="546.0"/>
        <n v="1187.0"/>
        <n v="1348.0"/>
        <n v="904.0"/>
        <n v="1331.0"/>
        <n v="1116.0"/>
        <n v="2752.0"/>
        <n v="1164.0"/>
        <n v="2020.0"/>
        <n v="1260.0"/>
        <n v="1569.0"/>
        <n v="434.0"/>
        <n v="994.0"/>
        <n v="269.0"/>
        <n v="374.0"/>
        <n v="370.0"/>
        <n v="432.0"/>
        <n v="346.0"/>
        <n v="1578.0"/>
        <n v="1093.0"/>
        <n v="855.0"/>
        <n v="849.0"/>
        <n v="860.0"/>
        <n v="798.0"/>
        <n v="1967.0"/>
        <n v="737.0"/>
        <n v="868.0"/>
        <n v="638.0"/>
        <n v="2040.0"/>
        <n v="1659.0"/>
        <n v="1286.0"/>
        <n v="1153.0"/>
        <n v="307.0"/>
        <n v="752.0"/>
        <n v="1935.0"/>
        <n v="2074.0"/>
        <n v="709.0"/>
        <n v="1324.0"/>
        <n v="1495.0"/>
        <n v="250.0"/>
        <n v="271.0"/>
        <n v="193.0"/>
        <n v="2105.0"/>
        <n v="753.0"/>
        <n v="1339.0"/>
        <n v="1265.0"/>
        <n v="1379.0"/>
        <n v="386.0"/>
        <n v="619.0"/>
        <n v="292.0"/>
        <n v="1270.0"/>
        <n v="1536.0"/>
        <n v="579.0"/>
        <n v="2322.0"/>
        <n v="1791.0"/>
        <n v="770.0"/>
        <n v="198.0"/>
        <n v="599.0"/>
        <n v="376.0"/>
        <n v="1275.0"/>
        <n v="640.0"/>
        <n v="701.0"/>
        <n v="1527.0"/>
        <n v="592.0"/>
        <n v="1496.0"/>
        <n v="531.0"/>
        <n v="177.0"/>
        <n v="142.0"/>
        <n v="1442.0"/>
        <n v="1613.0"/>
        <n v="721.0"/>
        <n v="1721.0"/>
        <n v="1605.0"/>
        <n v="628.0"/>
        <n v="228.0"/>
        <n v="742.0"/>
        <n v="1040.0"/>
        <n v="2361.0"/>
        <n v="1801.0"/>
        <n v="1456.0"/>
        <n v="836.0"/>
        <n v="404.0"/>
        <n v="1823.0"/>
        <n v="1132.0"/>
        <n v="1448.0"/>
        <n v="1046.0"/>
        <n v="248.0"/>
        <n v="2710.0"/>
        <n v="917.0"/>
        <n v="1103.0"/>
        <n v="852.0"/>
        <n v="714.0"/>
        <n v="303.0"/>
        <n v="245.0"/>
        <n v="1962.0"/>
        <n v="968.0"/>
        <n v="922.0"/>
        <n v="527.0"/>
        <n v="1205.0"/>
        <n v="423.0"/>
        <n v="900.0"/>
        <n v="973.0"/>
        <n v="1907.0"/>
        <n v="1127.0"/>
        <n v="1376.0"/>
        <n v="433.0"/>
        <n v="1966.0"/>
        <n v="203.0"/>
        <n v="234.0"/>
        <n v="541.0"/>
        <n v="2704.0"/>
        <n v="643.0"/>
        <n v="2282.0"/>
        <n v="1622.0"/>
        <n v="473.0"/>
        <n v="443.0"/>
        <n v="2456.0"/>
        <n v="1221.0"/>
        <n v="529.0"/>
        <n v="1984.0"/>
        <n v="977.0"/>
        <n v="783.0"/>
        <n v="1466.0"/>
        <n v="282.0"/>
        <n v="2321.0"/>
        <n v="784.0"/>
        <n v="743.0"/>
        <n v="225.0"/>
        <n v="161.0"/>
        <n v="235.0"/>
        <n v="1764.0"/>
        <n v="702.0"/>
        <n v="1025.0"/>
        <n v="1805.0"/>
        <n v="730.0"/>
        <n v="2668.0"/>
        <n v="1626.0"/>
        <n v="1623.0"/>
        <n v="1635.0"/>
        <n v="906.0"/>
        <n v="712.0"/>
        <n v="345.0"/>
        <n v="2341.0"/>
        <n v="690.0"/>
        <n v="3022.0"/>
        <n v="2247.0"/>
        <n v="740.0"/>
        <n v="1798.0"/>
        <n v="2223.0"/>
        <n v="2509.0"/>
        <n v="263.0"/>
        <n v="1130.0"/>
        <n v="1685.0"/>
        <n v="590.0"/>
        <n v="2342.0"/>
        <n v="2371.0"/>
        <n v="1176.0"/>
        <n v="2183.0"/>
      </sharedItems>
    </cacheField>
    <cacheField name="Spending ($)" numFmtId="165">
      <sharedItems containsSemiMixedTypes="0" containsString="0" containsNumber="1" containsInteger="1">
        <n v="646.0"/>
        <n v="2255.0"/>
        <n v="311.0"/>
        <n v="1192.0"/>
        <n v="784.0"/>
        <n v="2015.0"/>
        <n v="1218.0"/>
        <n v="602.0"/>
        <n v="2349.0"/>
        <n v="2416.0"/>
        <n v="1279.0"/>
        <n v="2367.0"/>
        <n v="2122.0"/>
        <n v="2483.0"/>
        <n v="2482.0"/>
        <n v="1144.0"/>
        <n v="3541.0"/>
        <n v="1939.0"/>
        <n v="1388.0"/>
        <n v="1248.0"/>
        <n v="2214.0"/>
        <n v="659.0"/>
        <n v="146.0"/>
        <n v="1830.0"/>
        <n v="2170.0"/>
        <n v="556.0"/>
        <n v="729.0"/>
        <n v="1230.0"/>
        <n v="809.0"/>
        <n v="2368.0"/>
        <n v="2291.0"/>
        <n v="2851.0"/>
        <n v="689.0"/>
        <n v="693.0"/>
        <n v="484.0"/>
        <n v="3965.0"/>
        <n v="1516.0"/>
        <n v="3493.0"/>
        <n v="924.0"/>
        <n v="3283.0"/>
        <n v="1306.0"/>
        <n v="2225.0"/>
        <n v="1644.0"/>
        <n v="744.0"/>
        <n v="2546.0"/>
        <n v="3369.0"/>
        <n v="372.0"/>
        <n v="359.0"/>
        <n v="1454.0"/>
        <n v="1247.0"/>
        <n v="2209.0"/>
        <n v="1708.0"/>
        <n v="1646.0"/>
        <n v="1626.0"/>
        <n v="576.0"/>
        <n v="1014.0"/>
        <n v="3135.0"/>
        <n v="2056.0"/>
        <n v="272.0"/>
        <n v="1588.0"/>
        <n v="2150.0"/>
        <n v="665.0"/>
        <n v="861.0"/>
        <n v="2366.0"/>
        <n v="591.0"/>
        <n v="2066.0"/>
        <n v="2532.0"/>
        <n v="3073.0"/>
        <n v="958.0"/>
        <n v="2069.0"/>
        <n v="712.0"/>
        <n v="1054.0"/>
        <n v="350.0"/>
        <n v="832.0"/>
        <n v="2676.0"/>
        <n v="946.0"/>
        <n v="843.0"/>
        <n v="1499.0"/>
        <n v="1307.0"/>
        <n v="1099.0"/>
        <n v="2155.0"/>
        <n v="183.0"/>
        <n v="3214.0"/>
        <n v="615.0"/>
        <n v="1271.0"/>
        <n v="398.0"/>
        <n v="3592.0"/>
        <n v="933.0"/>
        <n v="914.0"/>
        <n v="1864.0"/>
        <n v="3060.0"/>
        <n v="494.0"/>
        <n v="3219.0"/>
        <n v="767.0"/>
        <n v="3065.0"/>
        <n v="3794.0"/>
        <n v="3554.0"/>
        <n v="841.0"/>
        <n v="1067.0"/>
        <n v="2502.0"/>
        <n v="2248.0"/>
        <n v="742.0"/>
        <n v="1462.0"/>
        <n v="3761.0"/>
        <n v="403.0"/>
        <n v="1787.0"/>
        <n v="2696.0"/>
        <n v="734.0"/>
        <n v="1291.0"/>
        <n v="3261.0"/>
        <n v="3469.0"/>
        <n v="2230.0"/>
        <n v="1999.0"/>
        <n v="2054.0"/>
        <n v="1738.0"/>
        <n v="1094.0"/>
        <n v="817.0"/>
        <n v="1049.0"/>
        <n v="2223.0"/>
        <n v="304.0"/>
        <n v="1866.0"/>
        <n v="2190.0"/>
        <n v="2187.0"/>
        <n v="3118.0"/>
        <n v="967.0"/>
        <n v="3788.0"/>
        <n v="595.0"/>
        <n v="2461.0"/>
        <n v="3410.0"/>
        <n v="476.0"/>
        <n v="1285.0"/>
        <n v="962.0"/>
        <n v="3002.0"/>
        <n v="338.0"/>
        <n v="1358.0"/>
        <n v="1198.0"/>
        <n v="2312.0"/>
        <n v="2590.0"/>
        <n v="1011.0"/>
        <n v="1684.0"/>
        <n v="1228.0"/>
        <n v="1817.0"/>
        <n v="1612.0"/>
        <n v="3574.0"/>
        <n v="3613.0"/>
        <n v="983.0"/>
        <n v="3427.0"/>
        <n v="1311.0"/>
        <n v="2252.0"/>
        <n v="429.0"/>
        <n v="3313.0"/>
        <n v="1066.0"/>
        <n v="1886.0"/>
        <n v="2105.0"/>
        <n v="2439.0"/>
        <n v="2011.0"/>
        <n v="2560.0"/>
        <n v="963.0"/>
        <n v="2685.0"/>
        <n v="1513.0"/>
        <n v="478.0"/>
        <n v="2622.0"/>
        <n v="1531.0"/>
        <n v="2678.0"/>
        <n v="4726.0"/>
        <n v="690.0"/>
        <n v="1308.0"/>
        <n v="2329.0"/>
        <n v="3282.0"/>
        <n v="4080.0"/>
        <n v="1937.0"/>
        <n v="1458.0"/>
        <n v="620.0"/>
        <n v="2077.0"/>
        <n v="1424.0"/>
        <n v="864.0"/>
        <n v="473.0"/>
        <n v="1636.0"/>
        <n v="3264.0"/>
        <n v="2199.0"/>
        <n v="1376.0"/>
        <n v="3586.0"/>
        <n v="757.0"/>
        <n v="1829.0"/>
        <n v="2756.0"/>
        <n v="1547.0"/>
        <n v="1852.0"/>
        <n v="1543.0"/>
        <n v="3364.0"/>
        <n v="1803.0"/>
        <n v="1087.0"/>
        <n v="2154.0"/>
        <n v="3553.0"/>
        <n v="1730.0"/>
        <n v="3248.0"/>
        <n v="529.0"/>
        <n v="1430.0"/>
        <n v="353.0"/>
        <n v="671.0"/>
        <n v="676.0"/>
        <n v="2228.0"/>
        <n v="524.0"/>
        <n v="497.0"/>
        <n v="2890.0"/>
        <n v="2151.0"/>
        <n v="1238.0"/>
        <n v="889.0"/>
        <n v="1640.0"/>
        <n v="1163.0"/>
        <n v="941.0"/>
        <n v="2870.0"/>
        <n v="1286.0"/>
        <n v="686.0"/>
        <n v="3395.0"/>
        <n v="1903.0"/>
        <n v="463.0"/>
        <n v="2414.0"/>
        <n v="2068.0"/>
        <n v="589.0"/>
        <n v="1138.0"/>
        <n v="2728.0"/>
        <n v="3519.0"/>
        <n v="793.0"/>
        <n v="2186.0"/>
        <n v="2270.0"/>
        <n v="397.0"/>
        <n v="239.0"/>
        <n v="2507.0"/>
        <n v="2697.0"/>
        <n v="894.0"/>
        <n v="2621.0"/>
        <n v="2304.0"/>
        <n v="2683.0"/>
        <n v="896.0"/>
        <n v="1331.0"/>
        <n v="2626.0"/>
        <n v="1412.0"/>
        <n v="656.0"/>
        <n v="3188.0"/>
        <n v="3166.0"/>
        <n v="1563.0"/>
        <n v="365.0"/>
        <n v="1092.0"/>
        <n v="477.0"/>
        <n v="2180.0"/>
        <n v="1111.0"/>
        <n v="1059.0"/>
        <n v="1561.0"/>
        <n v="2167.0"/>
        <n v="887.0"/>
        <n v="2324.0"/>
        <n v="1020.0"/>
        <n v="294.0"/>
        <n v="265.0"/>
        <n v="316.0"/>
        <n v="1709.0"/>
        <n v="3053.0"/>
        <n v="1037.0"/>
        <n v="1863.0"/>
        <n v="1705.0"/>
        <n v="2595.0"/>
        <n v="944.0"/>
        <n v="999.0"/>
        <n v="1615.0"/>
        <n v="2682.0"/>
        <n v="3366.0"/>
        <n v="1867.0"/>
        <n v="1254.0"/>
        <n v="2347.0"/>
        <n v="488.0"/>
        <n v="3325.0"/>
        <n v="1413.0"/>
        <n v="1768.0"/>
        <n v="1510.0"/>
        <n v="257.0"/>
        <n v="2479.0"/>
        <n v="1451.0"/>
        <n v="1625.0"/>
        <n v="1386.0"/>
        <n v="481.0"/>
        <n v="366.0"/>
        <n v="1857.0"/>
        <n v="2878.0"/>
        <n v="1339.0"/>
        <n v="911.0"/>
        <n v="638.0"/>
        <n v="1749.0"/>
        <n v="500.0"/>
        <n v="972.0"/>
        <n v="1284.0"/>
        <n v="3233.0"/>
        <n v="1422.0"/>
        <n v="2001.0"/>
        <n v="779.0"/>
        <n v="2052.0"/>
        <n v="386.0"/>
        <n v="450.0"/>
        <n v="751.0"/>
        <n v="2745.0"/>
        <n v="1117.0"/>
        <n v="2545.0"/>
        <n v="2471.0"/>
        <n v="577.0"/>
        <n v="377.0"/>
        <n v="1400.0"/>
        <n v="2655.0"/>
        <n v="2048.0"/>
        <n v="1357.0"/>
        <n v="2552.0"/>
        <n v="1649.0"/>
        <n v="1327.0"/>
        <n v="1778.0"/>
        <n v="415.0"/>
        <n v="3228.0"/>
        <n v="1151.0"/>
        <n v="1302.0"/>
        <n v="370.0"/>
        <n v="3154.0"/>
        <n v="1088.0"/>
        <n v="2905.0"/>
        <n v="2577.0"/>
        <n v="1257.0"/>
        <n v="5060.0"/>
        <n v="1211.0"/>
        <n v="2787.0"/>
        <n v="2087.0"/>
        <n v="3452.0"/>
        <n v="2936.0"/>
        <n v="1535.0"/>
        <n v="630.0"/>
        <n v="3446.0"/>
        <n v="1219.0"/>
        <n v="4503.0"/>
        <n v="2807.0"/>
        <n v="1013.0"/>
        <n v="2881.0"/>
        <n v="4012.0"/>
        <n v="3337.0"/>
        <n v="395.0"/>
        <n v="1184.0"/>
        <n v="2161.0"/>
        <n v="1523.0"/>
        <n v="642.0"/>
        <n v="2389.0"/>
        <n v="4002.0"/>
        <n v="1266.0"/>
        <n v="1755.0"/>
        <n v="2219.0"/>
      </sharedItems>
    </cacheField>
    <cacheField name="Conversions" numFmtId="0">
      <sharedItems containsSemiMixedTypes="0" containsString="0" containsNumber="1" containsInteger="1">
        <n v="8.0"/>
        <n v="35.0"/>
        <n v="6.0"/>
        <n v="13.0"/>
        <n v="16.0"/>
        <n v="28.0"/>
        <n v="9.0"/>
        <n v="30.0"/>
        <n v="18.0"/>
        <n v="15.0"/>
        <n v="29.0"/>
        <n v="24.0"/>
        <n v="10.0"/>
        <n v="56.0"/>
        <n v="22.0"/>
        <n v="19.0"/>
        <n v="17.0"/>
        <n v="27.0"/>
        <n v="3.0"/>
        <n v="7.0"/>
        <n v="12.0"/>
        <n v="26.0"/>
        <n v="32.0"/>
        <n v="55.0"/>
        <n v="14.0"/>
        <n v="34.0"/>
        <n v="37.0"/>
        <n v="20.0"/>
        <n v="25.0"/>
        <n v="11.0"/>
        <n v="23.0"/>
        <n v="4.0"/>
        <n v="2.0"/>
        <n v="31.0"/>
        <n v="44.0"/>
        <n v="45.0"/>
        <n v="41.0"/>
        <n v="5.0"/>
        <n v="39.0"/>
        <n v="1.0"/>
        <n v="42.0"/>
        <n v="50.0"/>
        <n v="36.0"/>
        <n v="21.0"/>
        <n v="38.0"/>
        <n v="47.0"/>
        <n v="43.0"/>
        <n v="40.0"/>
        <n v="54.0"/>
        <n v="46.0"/>
        <n v="63.0"/>
        <n v="53.0"/>
        <n v="33.0"/>
        <n v="49.0"/>
        <n v="66.0"/>
      </sharedItems>
    </cacheField>
    <cacheField name="Revenue ($)" numFmtId="165">
      <sharedItems containsSemiMixedTypes="0" containsString="0" containsNumber="1" containsInteger="1">
        <n v="1375.0"/>
        <n v="5159.0"/>
        <n v="717.0"/>
        <n v="2969.0"/>
        <n v="2556.0"/>
        <n v="2697.0"/>
        <n v="5549.0"/>
        <n v="1395.0"/>
        <n v="5835.0"/>
        <n v="3085.0"/>
        <n v="2912.0"/>
        <n v="3234.0"/>
        <n v="3395.0"/>
        <n v="3585.0"/>
        <n v="2436.0"/>
        <n v="1518.0"/>
        <n v="9247.0"/>
        <n v="3328.0"/>
        <n v="2295.0"/>
        <n v="3417.0"/>
        <n v="4439.0"/>
        <n v="1156.0"/>
        <n v="546.0"/>
        <n v="5066.0"/>
        <n v="4934.0"/>
        <n v="1059.0"/>
        <n v="1299.0"/>
        <n v="3373.0"/>
        <n v="2450.0"/>
        <n v="3396.0"/>
        <n v="4586.0"/>
        <n v="7336.0"/>
        <n v="1410.0"/>
        <n v="2306.0"/>
        <n v="1049.0"/>
        <n v="7054.0"/>
        <n v="2339.0"/>
        <n v="6543.0"/>
        <n v="3141.0"/>
        <n v="2627.0"/>
        <n v="5977.0"/>
        <n v="5329.0"/>
        <n v="4736.0"/>
        <n v="1819.0"/>
        <n v="6758.0"/>
        <n v="776.0"/>
        <n v="749.0"/>
        <n v="1719.0"/>
        <n v="1452.0"/>
        <n v="4594.0"/>
        <n v="1541.0"/>
        <n v="2285.0"/>
        <n v="4510.0"/>
        <n v="711.0"/>
        <n v="1836.0"/>
        <n v="6005.0"/>
        <n v="3235.0"/>
        <n v="344.0"/>
        <n v="4037.0"/>
        <n v="3438.0"/>
        <n v="2688.0"/>
        <n v="2058.0"/>
        <n v="3387.0"/>
        <n v="4204.0"/>
        <n v="1041.0"/>
        <n v="5049.0"/>
        <n v="7389.0"/>
        <n v="7091.0"/>
        <n v="1713.0"/>
        <n v="5217.0"/>
        <n v="1392.0"/>
        <n v="958.0"/>
        <n v="951.0"/>
        <n v="981.0"/>
        <n v="6827.0"/>
        <n v="969.0"/>
        <n v="2349.0"/>
        <n v="3742.0"/>
        <n v="1624.0"/>
        <n v="2222.0"/>
        <n v="3688.0"/>
        <n v="204.0"/>
        <n v="3855.0"/>
        <n v="1517.0"/>
        <n v="2602.0"/>
        <n v="1031.0"/>
        <n v="6041.0"/>
        <n v="1223.0"/>
        <n v="1764.0"/>
        <n v="2856.0"/>
        <n v="4626.0"/>
        <n v="766.0"/>
        <n v="6325.0"/>
        <n v="697.0"/>
        <n v="4520.0"/>
        <n v="6079.0"/>
        <n v="5852.0"/>
        <n v="1309.0"/>
        <n v="1596.0"/>
        <n v="7537.0"/>
        <n v="2245.0"/>
        <n v="950.0"/>
        <n v="2994.0"/>
        <n v="6588.0"/>
        <n v="1188.0"/>
        <n v="3433.0"/>
        <n v="5840.0"/>
        <n v="669.0"/>
        <n v="3600.0"/>
        <n v="10954.0"/>
        <n v="4371.0"/>
        <n v="6501.0"/>
        <n v="4267.0"/>
        <n v="4539.0"/>
        <n v="3606.0"/>
        <n v="1232.0"/>
        <n v="2120.0"/>
        <n v="1917.0"/>
        <n v="3196.0"/>
        <n v="536.0"/>
        <n v="2804.0"/>
        <n v="3204.0"/>
        <n v="4734.0"/>
        <n v="6627.0"/>
        <n v="2988.0"/>
        <n v="2707.0"/>
        <n v="947.0"/>
        <n v="7073.0"/>
        <n v="5943.0"/>
        <n v="446.0"/>
        <n v="2401.0"/>
        <n v="1802.0"/>
        <n v="2201.0"/>
        <n v="977.0"/>
        <n v="5036.0"/>
        <n v="2108.0"/>
        <n v="5335.0"/>
        <n v="6943.0"/>
        <n v="1181.0"/>
        <n v="4979.0"/>
        <n v="2103.0"/>
        <n v="3100.0"/>
        <n v="2647.0"/>
        <n v="3426.0"/>
        <n v="6825.0"/>
        <n v="1825.0"/>
        <n v="7945.0"/>
        <n v="3567.0"/>
        <n v="3816.0"/>
        <n v="701.0"/>
        <n v="2836.0"/>
        <n v="4000.0"/>
        <n v="2492.0"/>
        <n v="3273.0"/>
        <n v="5184.0"/>
        <n v="3115.0"/>
        <n v="6967.0"/>
        <n v="7188.0"/>
        <n v="1079.0"/>
        <n v="3895.0"/>
        <n v="2727.0"/>
        <n v="1616.0"/>
        <n v="5056.0"/>
        <n v="3795.0"/>
        <n v="9400.0"/>
        <n v="6813.0"/>
        <n v="1105.0"/>
        <n v="955.0"/>
        <n v="2963.0"/>
        <n v="6085.0"/>
        <n v="6904.0"/>
        <n v="6078.0"/>
        <n v="3520.0"/>
        <n v="2243.0"/>
        <n v="4642.0"/>
        <n v="2217.0"/>
        <n v="1549.0"/>
        <n v="1479.0"/>
        <n v="2537.0"/>
        <n v="8158.0"/>
        <n v="2290.0"/>
        <n v="2458.0"/>
        <n v="3181.0"/>
        <n v="4519.0"/>
        <n v="893.0"/>
        <n v="4117.0"/>
        <n v="3086.0"/>
        <n v="1862.0"/>
        <n v="2223.0"/>
        <n v="2839.0"/>
        <n v="10160.0"/>
        <n v="4413.0"/>
        <n v="2800.0"/>
        <n v="3556.0"/>
        <n v="6337.0"/>
        <n v="4064.0"/>
        <n v="2626.0"/>
        <n v="1442.0"/>
        <n v="2047.0"/>
        <n v="909.0"/>
        <n v="590.0"/>
        <n v="1532.0"/>
        <n v="3729.0"/>
        <n v="1531.0"/>
        <n v="1164.0"/>
        <n v="2788.0"/>
        <n v="2313.0"/>
        <n v="2766.0"/>
        <n v="2204.0"/>
        <n v="2975.0"/>
        <n v="2157.0"/>
        <n v="2383.0"/>
        <n v="6460.0"/>
        <n v="2077.0"/>
        <n v="1994.0"/>
        <n v="1869.0"/>
        <n v="7863.0"/>
        <n v="4388.0"/>
        <n v="1065.0"/>
        <n v="2299.0"/>
        <n v="2980.0"/>
        <n v="1086.0"/>
        <n v="1033.0"/>
        <n v="7318.0"/>
        <n v="3599.0"/>
        <n v="1473.0"/>
        <n v="3772.0"/>
        <n v="4900.0"/>
        <n v="714.0"/>
        <n v="657.0"/>
        <n v="639.0"/>
        <n v="3217.0"/>
        <n v="5606.0"/>
        <n v="2345.0"/>
        <n v="4446.0"/>
        <n v="3616.0"/>
        <n v="3025.0"/>
        <n v="686.0"/>
        <n v="603.0"/>
        <n v="2821.0"/>
        <n v="3297.0"/>
        <n v="2705.0"/>
        <n v="1270.0"/>
        <n v="8498.0"/>
        <n v="6246.0"/>
        <n v="2011.0"/>
        <n v="358.0"/>
        <n v="2225.0"/>
        <n v="904.0"/>
        <n v="3156.0"/>
        <n v="2808.0"/>
        <n v="2447.0"/>
        <n v="5446.0"/>
        <n v="6863.0"/>
        <n v="1242.0"/>
        <n v="3593.0"/>
        <n v="1433.0"/>
        <n v="609.0"/>
        <n v="265.0"/>
        <n v="414.0"/>
        <n v="4584.0"/>
        <n v="6251.0"/>
        <n v="2179.0"/>
        <n v="4001.0"/>
        <n v="1586.0"/>
        <n v="6155.0"/>
        <n v="2549.0"/>
        <n v="593.0"/>
        <n v="1367.0"/>
        <n v="2141.0"/>
        <n v="6131.0"/>
        <n v="4917.0"/>
        <n v="7367.0"/>
        <n v="7204.0"/>
        <n v="2193.0"/>
        <n v="3951.0"/>
        <n v="1029.0"/>
        <n v="5127.0"/>
        <n v="2585.0"/>
        <n v="4921.0"/>
        <n v="2470.0"/>
        <n v="508.0"/>
        <n v="5903.0"/>
        <n v="2396.0"/>
        <n v="2659.0"/>
        <n v="1195.0"/>
        <n v="1047.0"/>
        <n v="553.0"/>
        <n v="4952.0"/>
        <n v="3790.0"/>
        <n v="1620.0"/>
        <n v="3360.0"/>
        <n v="1417.0"/>
        <n v="3220.0"/>
        <n v="1372.0"/>
        <n v="2745.0"/>
        <n v="2908.0"/>
        <n v="4563.0"/>
        <n v="3905.0"/>
        <n v="3837.0"/>
        <n v="1310.0"/>
        <n v="4689.0"/>
        <n v="734.0"/>
        <n v="521.0"/>
        <n v="1573.0"/>
        <n v="10292.0"/>
        <n v="1746.0"/>
        <n v="8343.0"/>
        <n v="6699.0"/>
        <n v="1507.0"/>
        <n v="1448.0"/>
        <n v="2880.0"/>
        <n v="3577.0"/>
        <n v="2874.0"/>
        <n v="2304.0"/>
        <n v="1595.0"/>
        <n v="7546.0"/>
        <n v="3333.0"/>
        <n v="1757.0"/>
        <n v="6269.0"/>
        <n v="1119.0"/>
        <n v="3925.0"/>
        <n v="1626.0"/>
        <n v="1484.0"/>
        <n v="592.0"/>
        <n v="430.0"/>
        <n v="586.0"/>
        <n v="2812.0"/>
        <n v="1905.0"/>
        <n v="2868.0"/>
        <n v="5833.0"/>
        <n v="6574.0"/>
        <n v="2476.0"/>
        <n v="11025.0"/>
        <n v="2394.0"/>
        <n v="4551.0"/>
        <n v="4149.0"/>
        <n v="5132.0"/>
        <n v="1636.0"/>
        <n v="1779.0"/>
        <n v="6394.0"/>
        <n v="1969.0"/>
        <n v="6257.0"/>
        <n v="10718.0"/>
        <n v="1798.0"/>
        <n v="5413.0"/>
        <n v="4791.0"/>
        <n v="6166.0"/>
        <n v="799.0"/>
        <n v="1960.0"/>
        <n v="3076.0"/>
        <n v="4583.0"/>
        <n v="3095.0"/>
        <n v="1397.0"/>
        <n v="5010.0"/>
        <n v="6751.0"/>
        <n v="3770.0"/>
        <n v="5949.0"/>
      </sharedItems>
    </cacheField>
    <cacheField name="Month" numFmtId="0">
      <sharedItems containsSemiMixedTypes="0" containsString="0" containsNumber="1" containsInteger="1">
        <n v="1.0"/>
        <n v="2.0"/>
        <n v="3.0"/>
        <n v="4.0"/>
        <n v="5.0"/>
        <n v="6.0"/>
        <n v="7.0"/>
        <n v="8.0"/>
        <n v="9.0"/>
        <n v="10.0"/>
        <n v="11.0"/>
        <n v="1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IG Ads Performance Metrics" cacheId="0" dataCaption="" compact="0" compactData="0">
  <location ref="A1:F367" firstHeaderRow="0" firstDataRow="2" firstDataCol="0"/>
  <pivotFields>
    <pivotField name="Date" axis="axisRow" compact="0" numFmtId="164"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name="Impress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name="Click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t="default"/>
      </items>
    </pivotField>
    <pivotField name="Spending ($)"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Convers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venue ($)"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name="Month" compact="0" outline="0" multipleItemSelectionAllowed="1" showAll="0">
      <items>
        <item x="0"/>
        <item x="1"/>
        <item x="2"/>
        <item x="3"/>
        <item x="4"/>
        <item x="5"/>
        <item x="6"/>
        <item x="7"/>
        <item x="8"/>
        <item x="9"/>
        <item x="10"/>
        <item x="11"/>
        <item t="default"/>
      </items>
    </pivotField>
  </pivotFields>
  <rowFields>
    <field x="0"/>
  </rowFields>
  <colFields>
    <field x="-2"/>
  </colFields>
  <dataFields>
    <dataField name="SUM of Impressions" fld="1" baseField="0"/>
    <dataField name="SUM of Clicks" fld="2" baseField="0"/>
    <dataField name="SUM of Spending ($)" fld="3" baseField="0"/>
    <dataField name="SUM of Conversions" fld="4" baseField="0"/>
    <dataField name="SUM of Revenue ($)" fld="5" baseField="0"/>
  </dataFields>
</pivotTableDefinition>
</file>

<file path=xl/pivotTables/pivotTable2.xml><?xml version="1.0" encoding="utf-8"?>
<pivotTableDefinition xmlns="http://schemas.openxmlformats.org/spreadsheetml/2006/main" name="Pivot Table 3" cacheId="0" dataCaption="" compact="0" compactData="0">
  <location ref="A1:E2"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name="Impress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name="Click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t="default"/>
      </items>
    </pivotField>
    <pivotField name="Spending ($)"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t="default"/>
      </items>
    </pivotField>
    <pivotField name="Convers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venue ($)"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name="Month" compact="0" outline="0" multipleItemSelectionAllowed="1" showAll="0">
      <items>
        <item x="0"/>
        <item x="1"/>
        <item x="2"/>
        <item x="3"/>
        <item x="4"/>
        <item x="5"/>
        <item x="6"/>
        <item x="7"/>
        <item x="8"/>
        <item x="9"/>
        <item x="10"/>
        <item x="11"/>
        <item t="default"/>
      </items>
    </pivotField>
  </pivotFields>
  <colFields>
    <field x="-2"/>
  </colFields>
  <dataFields>
    <dataField name="SUM of Impressions" fld="1" baseField="0"/>
    <dataField name="SUM of Clicks" fld="2" baseField="0"/>
    <dataField name="SUM of Spending ($)" fld="3" baseField="0"/>
    <dataField name="SUM of Conversions" fld="4" baseField="0"/>
    <dataField name="SUM of Revenue ($)" fld="5"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2">
        <v>45658.0</v>
      </c>
      <c r="B2" s="1">
        <v>27382.0</v>
      </c>
      <c r="C2" s="1">
        <v>483.0</v>
      </c>
      <c r="D2" s="3">
        <v>646.0</v>
      </c>
      <c r="E2" s="1">
        <v>8.0</v>
      </c>
      <c r="F2" s="3">
        <v>1375.0</v>
      </c>
      <c r="G2" s="1">
        <f>month(A2)</f>
        <v>1</v>
      </c>
    </row>
    <row r="3">
      <c r="A3" s="2">
        <v>45659.0</v>
      </c>
      <c r="B3" s="1">
        <v>99168.0</v>
      </c>
      <c r="C3" s="1">
        <v>1561.0</v>
      </c>
      <c r="D3" s="3">
        <v>2255.0</v>
      </c>
      <c r="E3" s="1">
        <v>35.0</v>
      </c>
      <c r="F3" s="3">
        <v>5159.0</v>
      </c>
      <c r="G3" s="1">
        <f>MONTH(A3)</f>
        <v>1</v>
      </c>
    </row>
    <row r="4">
      <c r="A4" s="2">
        <v>45660.0</v>
      </c>
      <c r="B4" s="1">
        <v>14891.0</v>
      </c>
      <c r="C4" s="1">
        <v>273.0</v>
      </c>
      <c r="D4" s="3">
        <v>311.0</v>
      </c>
      <c r="E4" s="1">
        <v>6.0</v>
      </c>
      <c r="F4" s="3">
        <v>717.0</v>
      </c>
      <c r="G4" s="1">
        <f t="shared" ref="G4:G366" si="1">month(A4)</f>
        <v>1</v>
      </c>
    </row>
    <row r="5">
      <c r="A5" s="2">
        <v>45661.0</v>
      </c>
      <c r="B5" s="1">
        <v>42989.0</v>
      </c>
      <c r="C5" s="1">
        <v>682.0</v>
      </c>
      <c r="D5" s="3">
        <v>1192.0</v>
      </c>
      <c r="E5" s="1">
        <v>13.0</v>
      </c>
      <c r="F5" s="3">
        <v>2969.0</v>
      </c>
      <c r="G5" s="1">
        <f t="shared" si="1"/>
        <v>1</v>
      </c>
    </row>
    <row r="6">
      <c r="A6" s="2">
        <v>45662.0</v>
      </c>
      <c r="B6" s="1">
        <v>36381.0</v>
      </c>
      <c r="C6" s="1">
        <v>559.0</v>
      </c>
      <c r="D6" s="3">
        <v>784.0</v>
      </c>
      <c r="E6" s="1">
        <v>13.0</v>
      </c>
      <c r="F6" s="3">
        <v>2556.0</v>
      </c>
      <c r="G6" s="1">
        <f t="shared" si="1"/>
        <v>1</v>
      </c>
    </row>
    <row r="7">
      <c r="A7" s="2">
        <v>45663.0</v>
      </c>
      <c r="B7" s="1">
        <v>56836.0</v>
      </c>
      <c r="C7" s="1">
        <v>1129.0</v>
      </c>
      <c r="D7" s="3">
        <v>2015.0</v>
      </c>
      <c r="E7" s="1">
        <v>16.0</v>
      </c>
      <c r="F7" s="3">
        <v>2697.0</v>
      </c>
      <c r="G7" s="1">
        <f t="shared" si="1"/>
        <v>1</v>
      </c>
    </row>
    <row r="8">
      <c r="A8" s="2">
        <v>45664.0</v>
      </c>
      <c r="B8" s="1">
        <v>45926.0</v>
      </c>
      <c r="C8" s="1">
        <v>1145.0</v>
      </c>
      <c r="D8" s="3">
        <v>1218.0</v>
      </c>
      <c r="E8" s="1">
        <v>28.0</v>
      </c>
      <c r="F8" s="3">
        <v>5549.0</v>
      </c>
      <c r="G8" s="1">
        <f t="shared" si="1"/>
        <v>1</v>
      </c>
    </row>
    <row r="9">
      <c r="A9" s="2">
        <v>45665.0</v>
      </c>
      <c r="B9" s="1">
        <v>43071.0</v>
      </c>
      <c r="C9" s="1">
        <v>356.0</v>
      </c>
      <c r="D9" s="3">
        <v>602.0</v>
      </c>
      <c r="E9" s="1">
        <v>9.0</v>
      </c>
      <c r="F9" s="3">
        <v>1395.0</v>
      </c>
      <c r="G9" s="1">
        <f t="shared" si="1"/>
        <v>1</v>
      </c>
    </row>
    <row r="10">
      <c r="A10" s="2">
        <v>45666.0</v>
      </c>
      <c r="B10" s="1">
        <v>82343.0</v>
      </c>
      <c r="C10" s="1">
        <v>1867.0</v>
      </c>
      <c r="D10" s="3">
        <v>2349.0</v>
      </c>
      <c r="E10" s="1">
        <v>30.0</v>
      </c>
      <c r="F10" s="3">
        <v>5835.0</v>
      </c>
      <c r="G10" s="1">
        <f t="shared" si="1"/>
        <v>1</v>
      </c>
    </row>
    <row r="11">
      <c r="A11" s="2">
        <v>45667.0</v>
      </c>
      <c r="B11" s="1">
        <v>76027.0</v>
      </c>
      <c r="C11" s="1">
        <v>1249.0</v>
      </c>
      <c r="D11" s="3">
        <v>2416.0</v>
      </c>
      <c r="E11" s="1">
        <v>16.0</v>
      </c>
      <c r="F11" s="3">
        <v>3085.0</v>
      </c>
      <c r="G11" s="1">
        <f t="shared" si="1"/>
        <v>1</v>
      </c>
    </row>
    <row r="12">
      <c r="A12" s="2">
        <v>45668.0</v>
      </c>
      <c r="B12" s="1">
        <v>80956.0</v>
      </c>
      <c r="C12" s="1">
        <v>733.0</v>
      </c>
      <c r="D12" s="3">
        <v>1279.0</v>
      </c>
      <c r="E12" s="1">
        <v>18.0</v>
      </c>
      <c r="F12" s="3">
        <v>2912.0</v>
      </c>
      <c r="G12" s="1">
        <f t="shared" si="1"/>
        <v>1</v>
      </c>
    </row>
    <row r="13">
      <c r="A13" s="2">
        <v>45669.0</v>
      </c>
      <c r="B13" s="1">
        <v>68072.0</v>
      </c>
      <c r="C13" s="1">
        <v>1332.0</v>
      </c>
      <c r="D13" s="3">
        <v>2367.0</v>
      </c>
      <c r="E13" s="1">
        <v>15.0</v>
      </c>
      <c r="F13" s="3">
        <v>3234.0</v>
      </c>
      <c r="G13" s="1">
        <f t="shared" si="1"/>
        <v>1</v>
      </c>
    </row>
    <row r="14">
      <c r="A14" s="2">
        <v>45670.0</v>
      </c>
      <c r="B14" s="1">
        <v>97608.0</v>
      </c>
      <c r="C14" s="1">
        <v>1947.0</v>
      </c>
      <c r="D14" s="3">
        <v>2122.0</v>
      </c>
      <c r="E14" s="1">
        <v>29.0</v>
      </c>
      <c r="F14" s="3">
        <v>3395.0</v>
      </c>
      <c r="G14" s="1">
        <f t="shared" si="1"/>
        <v>1</v>
      </c>
    </row>
    <row r="15">
      <c r="A15" s="2">
        <v>45671.0</v>
      </c>
      <c r="B15" s="1">
        <v>68669.0</v>
      </c>
      <c r="C15" s="1">
        <v>1236.0</v>
      </c>
      <c r="D15" s="3">
        <v>2483.0</v>
      </c>
      <c r="E15" s="1">
        <v>24.0</v>
      </c>
      <c r="F15" s="3">
        <v>3585.0</v>
      </c>
      <c r="G15" s="1">
        <f t="shared" si="1"/>
        <v>1</v>
      </c>
    </row>
    <row r="16">
      <c r="A16" s="2">
        <v>45672.0</v>
      </c>
      <c r="B16" s="1">
        <v>65250.0</v>
      </c>
      <c r="C16" s="1">
        <v>2003.0</v>
      </c>
      <c r="D16" s="3">
        <v>2482.0</v>
      </c>
      <c r="E16" s="1">
        <v>24.0</v>
      </c>
      <c r="F16" s="3">
        <v>2436.0</v>
      </c>
      <c r="G16" s="1">
        <f t="shared" si="1"/>
        <v>1</v>
      </c>
    </row>
    <row r="17">
      <c r="A17" s="2">
        <v>45673.0</v>
      </c>
      <c r="B17" s="1">
        <v>20589.0</v>
      </c>
      <c r="C17" s="1">
        <v>580.0</v>
      </c>
      <c r="D17" s="3">
        <v>1144.0</v>
      </c>
      <c r="E17" s="1">
        <v>10.0</v>
      </c>
      <c r="F17" s="3">
        <v>1518.0</v>
      </c>
      <c r="G17" s="1">
        <f t="shared" si="1"/>
        <v>1</v>
      </c>
    </row>
    <row r="18">
      <c r="A18" s="2">
        <v>45674.0</v>
      </c>
      <c r="B18" s="1">
        <v>92484.0</v>
      </c>
      <c r="C18" s="1">
        <v>2150.0</v>
      </c>
      <c r="D18" s="3">
        <v>3541.0</v>
      </c>
      <c r="E18" s="1">
        <v>56.0</v>
      </c>
      <c r="F18" s="3">
        <v>9247.0</v>
      </c>
      <c r="G18" s="1">
        <f t="shared" si="1"/>
        <v>1</v>
      </c>
    </row>
    <row r="19">
      <c r="A19" s="2">
        <v>45675.0</v>
      </c>
      <c r="B19" s="1">
        <v>56463.0</v>
      </c>
      <c r="C19" s="1">
        <v>1561.0</v>
      </c>
      <c r="D19" s="3">
        <v>1939.0</v>
      </c>
      <c r="E19" s="1">
        <v>22.0</v>
      </c>
      <c r="F19" s="3">
        <v>3328.0</v>
      </c>
      <c r="G19" s="1">
        <f t="shared" si="1"/>
        <v>1</v>
      </c>
    </row>
    <row r="20">
      <c r="A20" s="2">
        <v>45676.0</v>
      </c>
      <c r="B20" s="1">
        <v>70426.0</v>
      </c>
      <c r="C20" s="1">
        <v>776.0</v>
      </c>
      <c r="D20" s="3">
        <v>1388.0</v>
      </c>
      <c r="E20" s="1">
        <v>19.0</v>
      </c>
      <c r="F20" s="3">
        <v>2295.0</v>
      </c>
      <c r="G20" s="1">
        <f t="shared" si="1"/>
        <v>1</v>
      </c>
    </row>
    <row r="21">
      <c r="A21" s="2">
        <v>45677.0</v>
      </c>
      <c r="B21" s="1">
        <v>70773.0</v>
      </c>
      <c r="C21" s="1">
        <v>952.0</v>
      </c>
      <c r="D21" s="3">
        <v>1248.0</v>
      </c>
      <c r="E21" s="1">
        <v>17.0</v>
      </c>
      <c r="F21" s="3">
        <v>3417.0</v>
      </c>
      <c r="G21" s="1">
        <f t="shared" si="1"/>
        <v>1</v>
      </c>
    </row>
    <row r="22">
      <c r="A22" s="2">
        <v>45678.0</v>
      </c>
      <c r="B22" s="1">
        <v>62871.0</v>
      </c>
      <c r="C22" s="1">
        <v>1454.0</v>
      </c>
      <c r="D22" s="3">
        <v>2214.0</v>
      </c>
      <c r="E22" s="1">
        <v>27.0</v>
      </c>
      <c r="F22" s="3">
        <v>4439.0</v>
      </c>
      <c r="G22" s="1">
        <f t="shared" si="1"/>
        <v>1</v>
      </c>
    </row>
    <row r="23">
      <c r="A23" s="2">
        <v>45679.0</v>
      </c>
      <c r="B23" s="1">
        <v>37897.0</v>
      </c>
      <c r="C23" s="1">
        <v>482.0</v>
      </c>
      <c r="D23" s="3">
        <v>659.0</v>
      </c>
      <c r="E23" s="1">
        <v>10.0</v>
      </c>
      <c r="F23" s="3">
        <v>1156.0</v>
      </c>
      <c r="G23" s="1">
        <f t="shared" si="1"/>
        <v>1</v>
      </c>
    </row>
    <row r="24">
      <c r="A24" s="2">
        <v>45680.0</v>
      </c>
      <c r="B24" s="1">
        <v>12972.0</v>
      </c>
      <c r="C24" s="1">
        <v>156.0</v>
      </c>
      <c r="D24" s="3">
        <v>146.0</v>
      </c>
      <c r="E24" s="1">
        <v>3.0</v>
      </c>
      <c r="F24" s="3">
        <v>546.0</v>
      </c>
      <c r="G24" s="1">
        <f t="shared" si="1"/>
        <v>1</v>
      </c>
    </row>
    <row r="25">
      <c r="A25" s="2">
        <v>45681.0</v>
      </c>
      <c r="B25" s="1">
        <v>71010.0</v>
      </c>
      <c r="C25" s="1">
        <v>1165.0</v>
      </c>
      <c r="D25" s="3">
        <v>1830.0</v>
      </c>
      <c r="E25" s="1">
        <v>24.0</v>
      </c>
      <c r="F25" s="3">
        <v>5066.0</v>
      </c>
      <c r="G25" s="1">
        <f t="shared" si="1"/>
        <v>1</v>
      </c>
    </row>
    <row r="26">
      <c r="A26" s="2">
        <v>45682.0</v>
      </c>
      <c r="B26" s="1">
        <v>43205.0</v>
      </c>
      <c r="C26" s="1">
        <v>1321.0</v>
      </c>
      <c r="D26" s="3">
        <v>2170.0</v>
      </c>
      <c r="E26" s="1">
        <v>27.0</v>
      </c>
      <c r="F26" s="3">
        <v>4934.0</v>
      </c>
      <c r="G26" s="1">
        <f t="shared" si="1"/>
        <v>1</v>
      </c>
    </row>
    <row r="27">
      <c r="A27" s="2">
        <v>45683.0</v>
      </c>
      <c r="B27" s="1">
        <v>27299.0</v>
      </c>
      <c r="C27" s="1">
        <v>352.0</v>
      </c>
      <c r="D27" s="3">
        <v>556.0</v>
      </c>
      <c r="E27" s="1">
        <v>6.0</v>
      </c>
      <c r="F27" s="3">
        <v>1059.0</v>
      </c>
      <c r="G27" s="1">
        <f t="shared" si="1"/>
        <v>1</v>
      </c>
    </row>
    <row r="28">
      <c r="A28" s="2">
        <v>45684.0</v>
      </c>
      <c r="B28" s="1">
        <v>25667.0</v>
      </c>
      <c r="C28" s="1">
        <v>378.0</v>
      </c>
      <c r="D28" s="3">
        <v>729.0</v>
      </c>
      <c r="E28" s="1">
        <v>7.0</v>
      </c>
      <c r="F28" s="3">
        <v>1299.0</v>
      </c>
      <c r="G28" s="1">
        <f t="shared" si="1"/>
        <v>1</v>
      </c>
    </row>
    <row r="29">
      <c r="A29" s="2">
        <v>45685.0</v>
      </c>
      <c r="B29" s="1">
        <v>69148.0</v>
      </c>
      <c r="C29" s="1">
        <v>679.0</v>
      </c>
      <c r="D29" s="3">
        <v>1230.0</v>
      </c>
      <c r="E29" s="1">
        <v>17.0</v>
      </c>
      <c r="F29" s="3">
        <v>3373.0</v>
      </c>
      <c r="G29" s="1">
        <f t="shared" si="1"/>
        <v>1</v>
      </c>
    </row>
    <row r="30">
      <c r="A30" s="2">
        <v>45686.0</v>
      </c>
      <c r="B30" s="1">
        <v>28266.0</v>
      </c>
      <c r="C30" s="1">
        <v>781.0</v>
      </c>
      <c r="D30" s="3">
        <v>809.0</v>
      </c>
      <c r="E30" s="1">
        <v>12.0</v>
      </c>
      <c r="F30" s="3">
        <v>2450.0</v>
      </c>
      <c r="G30" s="1">
        <f t="shared" si="1"/>
        <v>1</v>
      </c>
    </row>
    <row r="31">
      <c r="A31" s="2">
        <v>45687.0</v>
      </c>
      <c r="B31" s="1">
        <v>47724.0</v>
      </c>
      <c r="C31" s="1">
        <v>1392.0</v>
      </c>
      <c r="D31" s="3">
        <v>2368.0</v>
      </c>
      <c r="E31" s="1">
        <v>26.0</v>
      </c>
      <c r="F31" s="3">
        <v>3396.0</v>
      </c>
      <c r="G31" s="1">
        <f t="shared" si="1"/>
        <v>1</v>
      </c>
    </row>
    <row r="32">
      <c r="A32" s="2">
        <v>45688.0</v>
      </c>
      <c r="B32" s="1">
        <v>77744.0</v>
      </c>
      <c r="C32" s="1">
        <v>1438.0</v>
      </c>
      <c r="D32" s="3">
        <v>2291.0</v>
      </c>
      <c r="E32" s="1">
        <v>32.0</v>
      </c>
      <c r="F32" s="3">
        <v>4586.0</v>
      </c>
      <c r="G32" s="1">
        <f t="shared" si="1"/>
        <v>1</v>
      </c>
    </row>
    <row r="33">
      <c r="A33" s="2">
        <v>45689.0</v>
      </c>
      <c r="B33" s="1">
        <v>99439.0</v>
      </c>
      <c r="C33" s="1">
        <v>2594.0</v>
      </c>
      <c r="D33" s="3">
        <v>2851.0</v>
      </c>
      <c r="E33" s="1">
        <v>55.0</v>
      </c>
      <c r="F33" s="3">
        <v>7336.0</v>
      </c>
      <c r="G33" s="1">
        <f t="shared" si="1"/>
        <v>2</v>
      </c>
    </row>
    <row r="34">
      <c r="A34" s="2">
        <v>45690.0</v>
      </c>
      <c r="B34" s="1">
        <v>29408.0</v>
      </c>
      <c r="C34" s="1">
        <v>413.0</v>
      </c>
      <c r="D34" s="3">
        <v>689.0</v>
      </c>
      <c r="E34" s="1">
        <v>8.0</v>
      </c>
      <c r="F34" s="3">
        <v>1410.0</v>
      </c>
      <c r="G34" s="1">
        <f t="shared" si="1"/>
        <v>2</v>
      </c>
    </row>
    <row r="35">
      <c r="A35" s="2">
        <v>45691.0</v>
      </c>
      <c r="B35" s="1">
        <v>27715.0</v>
      </c>
      <c r="C35" s="1">
        <v>667.0</v>
      </c>
      <c r="D35" s="3">
        <v>693.0</v>
      </c>
      <c r="E35" s="1">
        <v>14.0</v>
      </c>
      <c r="F35" s="3">
        <v>2306.0</v>
      </c>
      <c r="G35" s="1">
        <f t="shared" si="1"/>
        <v>2</v>
      </c>
    </row>
    <row r="36">
      <c r="A36" s="2">
        <v>45692.0</v>
      </c>
      <c r="B36" s="1">
        <v>15515.0</v>
      </c>
      <c r="C36" s="1">
        <v>403.0</v>
      </c>
      <c r="D36" s="3">
        <v>484.0</v>
      </c>
      <c r="E36" s="1">
        <v>7.0</v>
      </c>
      <c r="F36" s="3">
        <v>1049.0</v>
      </c>
      <c r="G36" s="1">
        <f t="shared" si="1"/>
        <v>2</v>
      </c>
    </row>
    <row r="37">
      <c r="A37" s="2">
        <v>45693.0</v>
      </c>
      <c r="B37" s="1">
        <v>70280.0</v>
      </c>
      <c r="C37" s="1">
        <v>2077.0</v>
      </c>
      <c r="D37" s="3">
        <v>3965.0</v>
      </c>
      <c r="E37" s="1">
        <v>34.0</v>
      </c>
      <c r="F37" s="3">
        <v>7054.0</v>
      </c>
      <c r="G37" s="1">
        <f t="shared" si="1"/>
        <v>2</v>
      </c>
    </row>
    <row r="38">
      <c r="A38" s="2">
        <v>45694.0</v>
      </c>
      <c r="B38" s="1">
        <v>81872.0</v>
      </c>
      <c r="C38" s="1">
        <v>931.0</v>
      </c>
      <c r="D38" s="3">
        <v>1516.0</v>
      </c>
      <c r="E38" s="1">
        <v>19.0</v>
      </c>
      <c r="F38" s="3">
        <v>2339.0</v>
      </c>
      <c r="G38" s="1">
        <f t="shared" si="1"/>
        <v>2</v>
      </c>
    </row>
    <row r="39">
      <c r="A39" s="2">
        <v>45695.0</v>
      </c>
      <c r="B39" s="1">
        <v>81286.0</v>
      </c>
      <c r="C39" s="1">
        <v>2201.0</v>
      </c>
      <c r="D39" s="3">
        <v>3493.0</v>
      </c>
      <c r="E39" s="1">
        <v>37.0</v>
      </c>
      <c r="F39" s="3">
        <v>6543.0</v>
      </c>
      <c r="G39" s="1">
        <f t="shared" si="1"/>
        <v>2</v>
      </c>
    </row>
    <row r="40">
      <c r="A40" s="2">
        <v>45696.0</v>
      </c>
      <c r="B40" s="1">
        <v>77915.0</v>
      </c>
      <c r="C40" s="1">
        <v>915.0</v>
      </c>
      <c r="D40" s="3">
        <v>924.0</v>
      </c>
      <c r="E40" s="1">
        <v>17.0</v>
      </c>
      <c r="F40" s="3">
        <v>3141.0</v>
      </c>
      <c r="G40" s="1">
        <f t="shared" si="1"/>
        <v>2</v>
      </c>
    </row>
    <row r="41">
      <c r="A41" s="2">
        <v>45697.0</v>
      </c>
      <c r="B41" s="1">
        <v>60396.0</v>
      </c>
      <c r="C41" s="1">
        <v>1697.0</v>
      </c>
      <c r="D41" s="3">
        <v>3283.0</v>
      </c>
      <c r="E41" s="1">
        <v>20.0</v>
      </c>
      <c r="F41" s="3">
        <v>2627.0</v>
      </c>
      <c r="G41" s="1">
        <f t="shared" si="1"/>
        <v>2</v>
      </c>
    </row>
    <row r="42">
      <c r="A42" s="2">
        <v>45698.0</v>
      </c>
      <c r="B42" s="1">
        <v>43446.0</v>
      </c>
      <c r="C42" s="1">
        <v>1145.0</v>
      </c>
      <c r="D42" s="3">
        <v>1306.0</v>
      </c>
      <c r="E42" s="1">
        <v>30.0</v>
      </c>
      <c r="F42" s="3">
        <v>5977.0</v>
      </c>
      <c r="G42" s="1">
        <f t="shared" si="1"/>
        <v>2</v>
      </c>
    </row>
    <row r="43">
      <c r="A43" s="2">
        <v>45699.0</v>
      </c>
      <c r="B43" s="1">
        <v>70724.0</v>
      </c>
      <c r="C43" s="1">
        <v>1905.0</v>
      </c>
      <c r="D43" s="3">
        <v>2225.0</v>
      </c>
      <c r="E43" s="1">
        <v>25.0</v>
      </c>
      <c r="F43" s="3">
        <v>5329.0</v>
      </c>
      <c r="G43" s="1">
        <f t="shared" si="1"/>
        <v>2</v>
      </c>
    </row>
    <row r="44">
      <c r="A44" s="2">
        <v>45700.0</v>
      </c>
      <c r="B44" s="1">
        <v>85306.0</v>
      </c>
      <c r="C44" s="1">
        <v>1671.0</v>
      </c>
      <c r="D44" s="3">
        <v>1644.0</v>
      </c>
      <c r="E44" s="1">
        <v>26.0</v>
      </c>
      <c r="F44" s="3">
        <v>4736.0</v>
      </c>
      <c r="G44" s="1">
        <f t="shared" si="1"/>
        <v>2</v>
      </c>
    </row>
    <row r="45">
      <c r="A45" s="2">
        <v>45701.0</v>
      </c>
      <c r="B45" s="1">
        <v>23751.0</v>
      </c>
      <c r="C45" s="1">
        <v>534.0</v>
      </c>
      <c r="D45" s="3">
        <v>744.0</v>
      </c>
      <c r="E45" s="1">
        <v>11.0</v>
      </c>
      <c r="F45" s="3">
        <v>1819.0</v>
      </c>
      <c r="G45" s="1">
        <f t="shared" si="1"/>
        <v>2</v>
      </c>
    </row>
    <row r="46">
      <c r="A46" s="2">
        <v>45702.0</v>
      </c>
      <c r="B46" s="1">
        <v>82792.0</v>
      </c>
      <c r="C46" s="1">
        <v>1948.0</v>
      </c>
      <c r="D46" s="3">
        <v>2546.0</v>
      </c>
      <c r="E46" s="1">
        <v>37.0</v>
      </c>
      <c r="F46" s="3">
        <v>6758.0</v>
      </c>
      <c r="G46" s="1">
        <f t="shared" si="1"/>
        <v>2</v>
      </c>
    </row>
    <row r="47">
      <c r="A47" s="2">
        <v>45703.0</v>
      </c>
      <c r="B47" s="1">
        <v>68924.0</v>
      </c>
      <c r="C47" s="1">
        <v>1909.0</v>
      </c>
      <c r="D47" s="3">
        <v>3369.0</v>
      </c>
      <c r="E47" s="1">
        <v>23.0</v>
      </c>
      <c r="F47" s="3">
        <v>4586.0</v>
      </c>
      <c r="G47" s="1">
        <f t="shared" si="1"/>
        <v>2</v>
      </c>
    </row>
    <row r="48">
      <c r="A48" s="2">
        <v>45704.0</v>
      </c>
      <c r="B48" s="1">
        <v>13626.0</v>
      </c>
      <c r="C48" s="1">
        <v>196.0</v>
      </c>
      <c r="D48" s="3">
        <v>372.0</v>
      </c>
      <c r="E48" s="1">
        <v>4.0</v>
      </c>
      <c r="F48" s="3">
        <v>776.0</v>
      </c>
      <c r="G48" s="1">
        <f t="shared" si="1"/>
        <v>2</v>
      </c>
    </row>
    <row r="49">
      <c r="A49" s="2">
        <v>45705.0</v>
      </c>
      <c r="B49" s="1">
        <v>10725.0</v>
      </c>
      <c r="C49" s="1">
        <v>175.0</v>
      </c>
      <c r="D49" s="3">
        <v>359.0</v>
      </c>
      <c r="E49" s="1">
        <v>3.0</v>
      </c>
      <c r="F49" s="3">
        <v>749.0</v>
      </c>
      <c r="G49" s="1">
        <f t="shared" si="1"/>
        <v>2</v>
      </c>
    </row>
    <row r="50">
      <c r="A50" s="2">
        <v>45706.0</v>
      </c>
      <c r="B50" s="1">
        <v>50562.0</v>
      </c>
      <c r="C50" s="1">
        <v>684.0</v>
      </c>
      <c r="D50" s="3">
        <v>1454.0</v>
      </c>
      <c r="E50" s="1">
        <v>9.0</v>
      </c>
      <c r="F50" s="3">
        <v>1719.0</v>
      </c>
      <c r="G50" s="1">
        <f t="shared" si="1"/>
        <v>2</v>
      </c>
    </row>
    <row r="51">
      <c r="A51" s="2">
        <v>45707.0</v>
      </c>
      <c r="B51" s="1">
        <v>27479.0</v>
      </c>
      <c r="C51" s="1">
        <v>637.0</v>
      </c>
      <c r="D51" s="3">
        <v>1247.0</v>
      </c>
      <c r="E51" s="1">
        <v>12.0</v>
      </c>
      <c r="F51" s="3">
        <v>1452.0</v>
      </c>
      <c r="G51" s="1">
        <f t="shared" si="1"/>
        <v>2</v>
      </c>
    </row>
    <row r="52">
      <c r="A52" s="2">
        <v>45708.0</v>
      </c>
      <c r="B52" s="1">
        <v>75592.0</v>
      </c>
      <c r="C52" s="1">
        <v>1183.0</v>
      </c>
      <c r="D52" s="3">
        <v>2209.0</v>
      </c>
      <c r="E52" s="1">
        <v>28.0</v>
      </c>
      <c r="F52" s="3">
        <v>4594.0</v>
      </c>
      <c r="G52" s="1">
        <f t="shared" si="1"/>
        <v>2</v>
      </c>
    </row>
    <row r="53">
      <c r="A53" s="2">
        <v>45709.0</v>
      </c>
      <c r="B53" s="1">
        <v>91898.0</v>
      </c>
      <c r="C53" s="1">
        <v>974.0</v>
      </c>
      <c r="D53" s="3">
        <v>1708.0</v>
      </c>
      <c r="E53" s="1">
        <v>13.0</v>
      </c>
      <c r="F53" s="3">
        <v>1541.0</v>
      </c>
      <c r="G53" s="1">
        <f t="shared" si="1"/>
        <v>2</v>
      </c>
    </row>
    <row r="54">
      <c r="A54" s="2">
        <v>45710.0</v>
      </c>
      <c r="B54" s="1">
        <v>61770.0</v>
      </c>
      <c r="C54" s="1">
        <v>829.0</v>
      </c>
      <c r="D54" s="3">
        <v>1646.0</v>
      </c>
      <c r="E54" s="1">
        <v>15.0</v>
      </c>
      <c r="F54" s="3">
        <v>2285.0</v>
      </c>
      <c r="G54" s="1">
        <f t="shared" si="1"/>
        <v>2</v>
      </c>
    </row>
    <row r="55">
      <c r="A55" s="2">
        <v>45711.0</v>
      </c>
      <c r="B55" s="1">
        <v>82545.0</v>
      </c>
      <c r="C55" s="1">
        <v>945.0</v>
      </c>
      <c r="D55" s="3">
        <v>1626.0</v>
      </c>
      <c r="E55" s="1">
        <v>22.0</v>
      </c>
      <c r="F55" s="3">
        <v>4510.0</v>
      </c>
      <c r="G55" s="1">
        <f t="shared" si="1"/>
        <v>2</v>
      </c>
    </row>
    <row r="56">
      <c r="A56" s="2">
        <v>45712.0</v>
      </c>
      <c r="B56" s="1">
        <v>16999.0</v>
      </c>
      <c r="C56" s="1">
        <v>452.0</v>
      </c>
      <c r="D56" s="3">
        <v>576.0</v>
      </c>
      <c r="E56" s="1">
        <v>6.0</v>
      </c>
      <c r="F56" s="3">
        <v>711.0</v>
      </c>
      <c r="G56" s="1">
        <f t="shared" si="1"/>
        <v>2</v>
      </c>
    </row>
    <row r="57">
      <c r="A57" s="2">
        <v>45713.0</v>
      </c>
      <c r="B57" s="1">
        <v>61190.0</v>
      </c>
      <c r="C57" s="1">
        <v>812.0</v>
      </c>
      <c r="D57" s="3">
        <v>1014.0</v>
      </c>
      <c r="E57" s="1">
        <v>15.0</v>
      </c>
      <c r="F57" s="3">
        <v>1836.0</v>
      </c>
      <c r="G57" s="1">
        <f t="shared" si="1"/>
        <v>2</v>
      </c>
    </row>
    <row r="58">
      <c r="A58" s="2">
        <v>45714.0</v>
      </c>
      <c r="B58" s="1">
        <v>89019.0</v>
      </c>
      <c r="C58" s="1">
        <v>2171.0</v>
      </c>
      <c r="D58" s="3">
        <v>3135.0</v>
      </c>
      <c r="E58" s="1">
        <v>37.0</v>
      </c>
      <c r="F58" s="3">
        <v>6005.0</v>
      </c>
      <c r="G58" s="1">
        <f t="shared" si="1"/>
        <v>2</v>
      </c>
    </row>
    <row r="59">
      <c r="A59" s="2">
        <v>45715.0</v>
      </c>
      <c r="B59" s="1">
        <v>42261.0</v>
      </c>
      <c r="C59" s="1">
        <v>1269.0</v>
      </c>
      <c r="D59" s="3">
        <v>2056.0</v>
      </c>
      <c r="E59" s="1">
        <v>17.0</v>
      </c>
      <c r="F59" s="3">
        <v>3235.0</v>
      </c>
      <c r="G59" s="1">
        <f t="shared" si="1"/>
        <v>2</v>
      </c>
    </row>
    <row r="60">
      <c r="A60" s="2">
        <v>45716.0</v>
      </c>
      <c r="B60" s="1">
        <v>14686.0</v>
      </c>
      <c r="C60" s="1">
        <v>165.0</v>
      </c>
      <c r="D60" s="3">
        <v>272.0</v>
      </c>
      <c r="E60" s="1">
        <v>2.0</v>
      </c>
      <c r="F60" s="3">
        <v>344.0</v>
      </c>
      <c r="G60" s="1">
        <f t="shared" si="1"/>
        <v>2</v>
      </c>
    </row>
    <row r="61">
      <c r="A61" s="2">
        <v>45717.0</v>
      </c>
      <c r="B61" s="1">
        <v>74275.0</v>
      </c>
      <c r="C61" s="1">
        <v>1230.0</v>
      </c>
      <c r="D61" s="3">
        <v>1588.0</v>
      </c>
      <c r="E61" s="1">
        <v>31.0</v>
      </c>
      <c r="F61" s="3">
        <v>4037.0</v>
      </c>
      <c r="G61" s="1">
        <f t="shared" si="1"/>
        <v>3</v>
      </c>
    </row>
    <row r="62">
      <c r="A62" s="2">
        <v>45718.0</v>
      </c>
      <c r="B62" s="1">
        <v>43481.0</v>
      </c>
      <c r="C62" s="1">
        <v>1411.0</v>
      </c>
      <c r="D62" s="3">
        <v>2150.0</v>
      </c>
      <c r="E62" s="1">
        <v>24.0</v>
      </c>
      <c r="F62" s="3">
        <v>3438.0</v>
      </c>
      <c r="G62" s="1">
        <f t="shared" si="1"/>
        <v>3</v>
      </c>
    </row>
    <row r="63">
      <c r="A63" s="2">
        <v>45719.0</v>
      </c>
      <c r="B63" s="1">
        <v>24107.0</v>
      </c>
      <c r="C63" s="1">
        <v>617.0</v>
      </c>
      <c r="D63" s="3">
        <v>665.0</v>
      </c>
      <c r="E63" s="1">
        <v>14.0</v>
      </c>
      <c r="F63" s="3">
        <v>2688.0</v>
      </c>
      <c r="G63" s="1">
        <f t="shared" si="1"/>
        <v>3</v>
      </c>
    </row>
    <row r="64">
      <c r="A64" s="2">
        <v>45720.0</v>
      </c>
      <c r="B64" s="1">
        <v>34969.0</v>
      </c>
      <c r="C64" s="1">
        <v>519.0</v>
      </c>
      <c r="D64" s="3">
        <v>861.0</v>
      </c>
      <c r="E64" s="1">
        <v>9.0</v>
      </c>
      <c r="F64" s="3">
        <v>2058.0</v>
      </c>
      <c r="G64" s="1">
        <f t="shared" si="1"/>
        <v>3</v>
      </c>
    </row>
    <row r="65">
      <c r="A65" s="2">
        <v>45721.0</v>
      </c>
      <c r="B65" s="1">
        <v>56378.0</v>
      </c>
      <c r="C65" s="1">
        <v>1345.0</v>
      </c>
      <c r="D65" s="3">
        <v>2366.0</v>
      </c>
      <c r="E65" s="1">
        <v>31.0</v>
      </c>
      <c r="F65" s="3">
        <v>3387.0</v>
      </c>
      <c r="G65" s="1">
        <f t="shared" si="1"/>
        <v>3</v>
      </c>
    </row>
    <row r="66">
      <c r="A66" s="2">
        <v>45722.0</v>
      </c>
      <c r="B66" s="1">
        <v>57170.0</v>
      </c>
      <c r="C66" s="1">
        <v>1375.0</v>
      </c>
      <c r="D66" s="3">
        <v>1708.0</v>
      </c>
      <c r="E66" s="1">
        <v>19.0</v>
      </c>
      <c r="F66" s="3">
        <v>4204.0</v>
      </c>
      <c r="G66" s="1">
        <f t="shared" si="1"/>
        <v>3</v>
      </c>
    </row>
    <row r="67">
      <c r="A67" s="2">
        <v>45723.0</v>
      </c>
      <c r="B67" s="1">
        <v>26837.0</v>
      </c>
      <c r="C67" s="1">
        <v>591.0</v>
      </c>
      <c r="D67" s="3">
        <v>591.0</v>
      </c>
      <c r="E67" s="1">
        <v>11.0</v>
      </c>
      <c r="F67" s="3">
        <v>1041.0</v>
      </c>
      <c r="G67" s="1">
        <f t="shared" si="1"/>
        <v>3</v>
      </c>
    </row>
    <row r="68">
      <c r="A68" s="2">
        <v>45724.0</v>
      </c>
      <c r="B68" s="1">
        <v>81804.0</v>
      </c>
      <c r="C68" s="1">
        <v>1809.0</v>
      </c>
      <c r="D68" s="3">
        <v>2066.0</v>
      </c>
      <c r="E68" s="1">
        <v>44.0</v>
      </c>
      <c r="F68" s="3">
        <v>5049.0</v>
      </c>
      <c r="G68" s="1">
        <f t="shared" si="1"/>
        <v>3</v>
      </c>
    </row>
    <row r="69">
      <c r="A69" s="2">
        <v>45725.0</v>
      </c>
      <c r="B69" s="1">
        <v>69650.0</v>
      </c>
      <c r="C69" s="1">
        <v>2180.0</v>
      </c>
      <c r="D69" s="3">
        <v>2532.0</v>
      </c>
      <c r="E69" s="1">
        <v>45.0</v>
      </c>
      <c r="F69" s="3">
        <v>7389.0</v>
      </c>
      <c r="G69" s="1">
        <f t="shared" si="1"/>
        <v>3</v>
      </c>
    </row>
    <row r="70">
      <c r="A70" s="2">
        <v>45726.0</v>
      </c>
      <c r="B70" s="1">
        <v>88162.0</v>
      </c>
      <c r="C70" s="1">
        <v>1931.0</v>
      </c>
      <c r="D70" s="3">
        <v>3073.0</v>
      </c>
      <c r="E70" s="1">
        <v>41.0</v>
      </c>
      <c r="F70" s="3">
        <v>7091.0</v>
      </c>
      <c r="G70" s="1">
        <f t="shared" si="1"/>
        <v>3</v>
      </c>
    </row>
    <row r="71">
      <c r="A71" s="2">
        <v>45727.0</v>
      </c>
      <c r="B71" s="1">
        <v>35355.0</v>
      </c>
      <c r="C71" s="1">
        <v>736.0</v>
      </c>
      <c r="D71" s="3">
        <v>958.0</v>
      </c>
      <c r="E71" s="1">
        <v>9.0</v>
      </c>
      <c r="F71" s="3">
        <v>1713.0</v>
      </c>
      <c r="G71" s="1">
        <f t="shared" si="1"/>
        <v>3</v>
      </c>
    </row>
    <row r="72">
      <c r="A72" s="2">
        <v>45728.0</v>
      </c>
      <c r="B72" s="1">
        <v>90027.0</v>
      </c>
      <c r="C72" s="1">
        <v>1414.0</v>
      </c>
      <c r="D72" s="3">
        <v>2069.0</v>
      </c>
      <c r="E72" s="1">
        <v>25.0</v>
      </c>
      <c r="F72" s="3">
        <v>5217.0</v>
      </c>
      <c r="G72" s="1">
        <f t="shared" si="1"/>
        <v>3</v>
      </c>
    </row>
    <row r="73">
      <c r="A73" s="2">
        <v>45729.0</v>
      </c>
      <c r="B73" s="1">
        <v>25328.0</v>
      </c>
      <c r="C73" s="1">
        <v>474.0</v>
      </c>
      <c r="D73" s="3">
        <v>712.0</v>
      </c>
      <c r="E73" s="1">
        <v>10.0</v>
      </c>
      <c r="F73" s="3">
        <v>1392.0</v>
      </c>
      <c r="G73" s="1">
        <f t="shared" si="1"/>
        <v>3</v>
      </c>
    </row>
    <row r="74">
      <c r="A74" s="2">
        <v>45730.0</v>
      </c>
      <c r="B74" s="1">
        <v>59348.0</v>
      </c>
      <c r="C74" s="1">
        <v>660.0</v>
      </c>
      <c r="D74" s="3">
        <v>1054.0</v>
      </c>
      <c r="E74" s="1">
        <v>7.0</v>
      </c>
      <c r="F74" s="3">
        <v>958.0</v>
      </c>
      <c r="G74" s="1">
        <f t="shared" si="1"/>
        <v>3</v>
      </c>
    </row>
    <row r="75">
      <c r="A75" s="2">
        <v>45731.0</v>
      </c>
      <c r="B75" s="1">
        <v>24427.0</v>
      </c>
      <c r="C75" s="1">
        <v>324.0</v>
      </c>
      <c r="D75" s="3">
        <v>350.0</v>
      </c>
      <c r="E75" s="1">
        <v>5.0</v>
      </c>
      <c r="F75" s="3">
        <v>951.0</v>
      </c>
      <c r="G75" s="1">
        <f t="shared" si="1"/>
        <v>3</v>
      </c>
    </row>
    <row r="76">
      <c r="A76" s="2">
        <v>45732.0</v>
      </c>
      <c r="B76" s="1">
        <v>23408.0</v>
      </c>
      <c r="C76" s="1">
        <v>502.0</v>
      </c>
      <c r="D76" s="3">
        <v>832.0</v>
      </c>
      <c r="E76" s="1">
        <v>9.0</v>
      </c>
      <c r="F76" s="3">
        <v>981.0</v>
      </c>
      <c r="G76" s="1">
        <f t="shared" si="1"/>
        <v>3</v>
      </c>
    </row>
    <row r="77">
      <c r="A77" s="2">
        <v>45733.0</v>
      </c>
      <c r="B77" s="1">
        <v>48565.0</v>
      </c>
      <c r="C77" s="1">
        <v>1530.0</v>
      </c>
      <c r="D77" s="3">
        <v>2676.0</v>
      </c>
      <c r="E77" s="1">
        <v>39.0</v>
      </c>
      <c r="F77" s="3">
        <v>6827.0</v>
      </c>
      <c r="G77" s="1">
        <f t="shared" si="1"/>
        <v>3</v>
      </c>
    </row>
    <row r="78">
      <c r="A78" s="2">
        <v>45734.0</v>
      </c>
      <c r="B78" s="1">
        <v>37692.0</v>
      </c>
      <c r="C78" s="1">
        <v>658.0</v>
      </c>
      <c r="D78" s="3">
        <v>946.0</v>
      </c>
      <c r="E78" s="1">
        <v>9.0</v>
      </c>
      <c r="F78" s="3">
        <v>969.0</v>
      </c>
      <c r="G78" s="1">
        <f t="shared" si="1"/>
        <v>3</v>
      </c>
    </row>
    <row r="79">
      <c r="A79" s="2">
        <v>45735.0</v>
      </c>
      <c r="B79" s="1">
        <v>29345.0</v>
      </c>
      <c r="C79" s="1">
        <v>596.0</v>
      </c>
      <c r="D79" s="3">
        <v>843.0</v>
      </c>
      <c r="E79" s="1">
        <v>12.0</v>
      </c>
      <c r="F79" s="3">
        <v>2349.0</v>
      </c>
      <c r="G79" s="1">
        <f t="shared" si="1"/>
        <v>3</v>
      </c>
    </row>
    <row r="80">
      <c r="A80" s="2">
        <v>45736.0</v>
      </c>
      <c r="B80" s="1">
        <v>86428.0</v>
      </c>
      <c r="C80" s="1">
        <v>883.0</v>
      </c>
      <c r="D80" s="3">
        <v>1499.0</v>
      </c>
      <c r="E80" s="1">
        <v>24.0</v>
      </c>
      <c r="F80" s="3">
        <v>3742.0</v>
      </c>
      <c r="G80" s="1">
        <f t="shared" si="1"/>
        <v>3</v>
      </c>
    </row>
    <row r="81">
      <c r="A81" s="2">
        <v>45737.0</v>
      </c>
      <c r="B81" s="1">
        <v>29192.0</v>
      </c>
      <c r="C81" s="1">
        <v>749.0</v>
      </c>
      <c r="D81" s="3">
        <v>1307.0</v>
      </c>
      <c r="E81" s="1">
        <v>15.0</v>
      </c>
      <c r="F81" s="3">
        <v>1624.0</v>
      </c>
      <c r="G81" s="1">
        <f t="shared" si="1"/>
        <v>3</v>
      </c>
    </row>
    <row r="82">
      <c r="A82" s="2">
        <v>45738.0</v>
      </c>
      <c r="B82" s="1">
        <v>35448.0</v>
      </c>
      <c r="C82" s="1">
        <v>970.0</v>
      </c>
      <c r="D82" s="3">
        <v>1099.0</v>
      </c>
      <c r="E82" s="1">
        <v>14.0</v>
      </c>
      <c r="F82" s="3">
        <v>2222.0</v>
      </c>
      <c r="G82" s="1">
        <f t="shared" si="1"/>
        <v>3</v>
      </c>
    </row>
    <row r="83">
      <c r="A83" s="2">
        <v>45739.0</v>
      </c>
      <c r="B83" s="1">
        <v>101862.0</v>
      </c>
      <c r="C83" s="1">
        <v>1741.0</v>
      </c>
      <c r="D83" s="3">
        <v>2155.0</v>
      </c>
      <c r="E83" s="1">
        <v>28.0</v>
      </c>
      <c r="F83" s="3">
        <v>3688.0</v>
      </c>
      <c r="G83" s="1">
        <f t="shared" si="1"/>
        <v>3</v>
      </c>
    </row>
    <row r="84">
      <c r="A84" s="2">
        <v>45740.0</v>
      </c>
      <c r="B84" s="1">
        <v>10360.0</v>
      </c>
      <c r="C84" s="1">
        <v>135.0</v>
      </c>
      <c r="D84" s="3">
        <v>183.0</v>
      </c>
      <c r="E84" s="1">
        <v>1.0</v>
      </c>
      <c r="F84" s="3">
        <v>204.0</v>
      </c>
      <c r="G84" s="1">
        <f t="shared" si="1"/>
        <v>3</v>
      </c>
    </row>
    <row r="85">
      <c r="A85" s="2">
        <v>45741.0</v>
      </c>
      <c r="B85" s="1">
        <v>74045.0</v>
      </c>
      <c r="C85" s="1">
        <v>1860.0</v>
      </c>
      <c r="D85" s="3">
        <v>3214.0</v>
      </c>
      <c r="E85" s="1">
        <v>34.0</v>
      </c>
      <c r="F85" s="3">
        <v>3855.0</v>
      </c>
      <c r="G85" s="1">
        <f t="shared" si="1"/>
        <v>3</v>
      </c>
    </row>
    <row r="86">
      <c r="A86" s="2">
        <v>45742.0</v>
      </c>
      <c r="B86" s="1">
        <v>24404.0</v>
      </c>
      <c r="C86" s="1">
        <v>565.0</v>
      </c>
      <c r="D86" s="3">
        <v>615.0</v>
      </c>
      <c r="E86" s="1">
        <v>13.0</v>
      </c>
      <c r="F86" s="3">
        <v>1517.0</v>
      </c>
      <c r="G86" s="1">
        <f t="shared" si="1"/>
        <v>3</v>
      </c>
    </row>
    <row r="87">
      <c r="A87" s="2">
        <v>45743.0</v>
      </c>
      <c r="B87" s="1">
        <v>77058.0</v>
      </c>
      <c r="C87" s="1">
        <v>1055.0</v>
      </c>
      <c r="D87" s="3">
        <v>1271.0</v>
      </c>
      <c r="E87" s="1">
        <v>22.0</v>
      </c>
      <c r="F87" s="3">
        <v>2602.0</v>
      </c>
      <c r="G87" s="1">
        <f t="shared" si="1"/>
        <v>3</v>
      </c>
    </row>
    <row r="88">
      <c r="A88" s="2">
        <v>45744.0</v>
      </c>
      <c r="B88" s="1">
        <v>14522.0</v>
      </c>
      <c r="C88" s="1">
        <v>289.0</v>
      </c>
      <c r="D88" s="3">
        <v>398.0</v>
      </c>
      <c r="E88" s="1">
        <v>5.0</v>
      </c>
      <c r="F88" s="3">
        <v>1031.0</v>
      </c>
      <c r="G88" s="1">
        <f t="shared" si="1"/>
        <v>3</v>
      </c>
    </row>
    <row r="89">
      <c r="A89" s="2">
        <v>45745.0</v>
      </c>
      <c r="B89" s="1">
        <v>76056.0</v>
      </c>
      <c r="C89" s="1">
        <v>2246.0</v>
      </c>
      <c r="D89" s="3">
        <v>3592.0</v>
      </c>
      <c r="E89" s="1">
        <v>34.0</v>
      </c>
      <c r="F89" s="3">
        <v>6041.0</v>
      </c>
      <c r="G89" s="1">
        <f t="shared" si="1"/>
        <v>3</v>
      </c>
    </row>
    <row r="90">
      <c r="A90" s="2">
        <v>45746.0</v>
      </c>
      <c r="B90" s="1">
        <v>62405.0</v>
      </c>
      <c r="C90" s="1">
        <v>825.0</v>
      </c>
      <c r="D90" s="3">
        <v>933.0</v>
      </c>
      <c r="E90" s="1">
        <v>13.0</v>
      </c>
      <c r="F90" s="3">
        <v>1223.0</v>
      </c>
      <c r="G90" s="1">
        <f t="shared" si="1"/>
        <v>3</v>
      </c>
    </row>
    <row r="91">
      <c r="A91" s="2">
        <v>45747.0</v>
      </c>
      <c r="B91" s="1">
        <v>48371.0</v>
      </c>
      <c r="C91" s="1">
        <v>717.0</v>
      </c>
      <c r="D91" s="3">
        <v>914.0</v>
      </c>
      <c r="E91" s="1">
        <v>13.0</v>
      </c>
      <c r="F91" s="3">
        <v>1764.0</v>
      </c>
      <c r="G91" s="1">
        <f t="shared" si="1"/>
        <v>3</v>
      </c>
    </row>
    <row r="92">
      <c r="A92" s="2">
        <v>45748.0</v>
      </c>
      <c r="B92" s="1">
        <v>66192.0</v>
      </c>
      <c r="C92" s="1">
        <v>1091.0</v>
      </c>
      <c r="D92" s="3">
        <v>1864.0</v>
      </c>
      <c r="E92" s="1">
        <v>23.0</v>
      </c>
      <c r="F92" s="3">
        <v>2856.0</v>
      </c>
      <c r="G92" s="1">
        <f t="shared" si="1"/>
        <v>4</v>
      </c>
    </row>
    <row r="93">
      <c r="A93" s="2">
        <v>45749.0</v>
      </c>
      <c r="B93" s="1">
        <v>89399.0</v>
      </c>
      <c r="C93" s="1">
        <v>1766.0</v>
      </c>
      <c r="D93" s="3">
        <v>3060.0</v>
      </c>
      <c r="E93" s="1">
        <v>42.0</v>
      </c>
      <c r="F93" s="3">
        <v>4626.0</v>
      </c>
      <c r="G93" s="1">
        <f t="shared" si="1"/>
        <v>4</v>
      </c>
    </row>
    <row r="94">
      <c r="A94" s="2">
        <v>45750.0</v>
      </c>
      <c r="B94" s="1">
        <v>25304.0</v>
      </c>
      <c r="C94" s="1">
        <v>310.0</v>
      </c>
      <c r="D94" s="3">
        <v>494.0</v>
      </c>
      <c r="E94" s="1">
        <v>7.0</v>
      </c>
      <c r="F94" s="3">
        <v>766.0</v>
      </c>
      <c r="G94" s="1">
        <f t="shared" si="1"/>
        <v>4</v>
      </c>
    </row>
    <row r="95">
      <c r="A95" s="2">
        <v>45751.0</v>
      </c>
      <c r="B95" s="1">
        <v>65507.0</v>
      </c>
      <c r="C95" s="1">
        <v>2071.0</v>
      </c>
      <c r="D95" s="3">
        <v>3219.0</v>
      </c>
      <c r="E95" s="1">
        <v>50.0</v>
      </c>
      <c r="F95" s="3">
        <v>6325.0</v>
      </c>
      <c r="G95" s="1">
        <f t="shared" si="1"/>
        <v>4</v>
      </c>
    </row>
    <row r="96">
      <c r="A96" s="2">
        <v>45752.0</v>
      </c>
      <c r="B96" s="1">
        <v>19085.0</v>
      </c>
      <c r="C96" s="1">
        <v>446.0</v>
      </c>
      <c r="D96" s="3">
        <v>767.0</v>
      </c>
      <c r="E96" s="1">
        <v>7.0</v>
      </c>
      <c r="F96" s="3">
        <v>697.0</v>
      </c>
      <c r="G96" s="1">
        <f t="shared" si="1"/>
        <v>4</v>
      </c>
    </row>
    <row r="97">
      <c r="A97" s="2">
        <v>45753.0</v>
      </c>
      <c r="B97" s="1">
        <v>93702.0</v>
      </c>
      <c r="C97" s="1">
        <v>1766.0</v>
      </c>
      <c r="D97" s="3">
        <v>3065.0</v>
      </c>
      <c r="E97" s="1">
        <v>34.0</v>
      </c>
      <c r="F97" s="3">
        <v>4520.0</v>
      </c>
      <c r="G97" s="1">
        <f t="shared" si="1"/>
        <v>4</v>
      </c>
    </row>
    <row r="98">
      <c r="A98" s="2">
        <v>45754.0</v>
      </c>
      <c r="B98" s="1">
        <v>77462.0</v>
      </c>
      <c r="C98" s="1">
        <v>2289.0</v>
      </c>
      <c r="D98" s="3">
        <v>3794.0</v>
      </c>
      <c r="E98" s="1">
        <v>39.0</v>
      </c>
      <c r="F98" s="3">
        <v>6079.0</v>
      </c>
      <c r="G98" s="1">
        <f t="shared" si="1"/>
        <v>4</v>
      </c>
    </row>
    <row r="99">
      <c r="A99" s="2">
        <v>45755.0</v>
      </c>
      <c r="B99" s="1">
        <v>88889.0</v>
      </c>
      <c r="C99" s="1">
        <v>2048.0</v>
      </c>
      <c r="D99" s="3">
        <v>3554.0</v>
      </c>
      <c r="E99" s="1">
        <v>28.0</v>
      </c>
      <c r="F99" s="3">
        <v>5852.0</v>
      </c>
      <c r="G99" s="1">
        <f t="shared" si="1"/>
        <v>4</v>
      </c>
    </row>
    <row r="100">
      <c r="A100" s="2">
        <v>45756.0</v>
      </c>
      <c r="B100" s="1">
        <v>52248.0</v>
      </c>
      <c r="C100" s="1">
        <v>600.0</v>
      </c>
      <c r="D100" s="3">
        <v>841.0</v>
      </c>
      <c r="E100" s="1">
        <v>11.0</v>
      </c>
      <c r="F100" s="3">
        <v>1309.0</v>
      </c>
      <c r="G100" s="1">
        <f t="shared" si="1"/>
        <v>4</v>
      </c>
    </row>
    <row r="101">
      <c r="A101" s="2">
        <v>45757.0</v>
      </c>
      <c r="B101" s="1">
        <v>50253.0</v>
      </c>
      <c r="C101" s="1">
        <v>842.0</v>
      </c>
      <c r="D101" s="3">
        <v>1067.0</v>
      </c>
      <c r="E101" s="1">
        <v>11.0</v>
      </c>
      <c r="F101" s="3">
        <v>1596.0</v>
      </c>
      <c r="G101" s="1">
        <f t="shared" si="1"/>
        <v>4</v>
      </c>
    </row>
    <row r="102">
      <c r="A102" s="2">
        <v>45758.0</v>
      </c>
      <c r="B102" s="1">
        <v>69120.0</v>
      </c>
      <c r="C102" s="1">
        <v>2081.0</v>
      </c>
      <c r="D102" s="3">
        <v>2502.0</v>
      </c>
      <c r="E102" s="1">
        <v>36.0</v>
      </c>
      <c r="F102" s="3">
        <v>7537.0</v>
      </c>
      <c r="G102" s="1">
        <f t="shared" si="1"/>
        <v>4</v>
      </c>
    </row>
    <row r="103">
      <c r="A103" s="2">
        <v>45759.0</v>
      </c>
      <c r="B103" s="1">
        <v>89518.0</v>
      </c>
      <c r="C103" s="1">
        <v>1740.0</v>
      </c>
      <c r="D103" s="3">
        <v>2248.0</v>
      </c>
      <c r="E103" s="1">
        <v>20.0</v>
      </c>
      <c r="F103" s="3">
        <v>2245.0</v>
      </c>
      <c r="G103" s="1">
        <f t="shared" si="1"/>
        <v>4</v>
      </c>
    </row>
    <row r="104">
      <c r="A104" s="2">
        <v>45760.0</v>
      </c>
      <c r="B104" s="1">
        <v>22275.0</v>
      </c>
      <c r="C104" s="1">
        <v>437.0</v>
      </c>
      <c r="D104" s="3">
        <v>742.0</v>
      </c>
      <c r="E104" s="1">
        <v>6.0</v>
      </c>
      <c r="F104" s="3">
        <v>950.0</v>
      </c>
      <c r="G104" s="1">
        <f t="shared" si="1"/>
        <v>4</v>
      </c>
    </row>
    <row r="105">
      <c r="A105" s="2">
        <v>45761.0</v>
      </c>
      <c r="B105" s="1">
        <v>81832.0</v>
      </c>
      <c r="C105" s="1">
        <v>1096.0</v>
      </c>
      <c r="D105" s="3">
        <v>1462.0</v>
      </c>
      <c r="E105" s="1">
        <v>21.0</v>
      </c>
      <c r="F105" s="3">
        <v>2994.0</v>
      </c>
      <c r="G105" s="1">
        <f t="shared" si="1"/>
        <v>4</v>
      </c>
    </row>
    <row r="106">
      <c r="A106" s="2">
        <v>45762.0</v>
      </c>
      <c r="B106" s="1">
        <v>93408.0</v>
      </c>
      <c r="C106" s="1">
        <v>1841.0</v>
      </c>
      <c r="D106" s="3">
        <v>3761.0</v>
      </c>
      <c r="E106" s="1">
        <v>38.0</v>
      </c>
      <c r="F106" s="3">
        <v>6588.0</v>
      </c>
      <c r="G106" s="1">
        <f t="shared" si="1"/>
        <v>4</v>
      </c>
    </row>
    <row r="107">
      <c r="A107" s="2">
        <v>45763.0</v>
      </c>
      <c r="B107" s="1">
        <v>23712.0</v>
      </c>
      <c r="C107" s="1">
        <v>342.0</v>
      </c>
      <c r="D107" s="3">
        <v>403.0</v>
      </c>
      <c r="E107" s="1">
        <v>8.0</v>
      </c>
      <c r="F107" s="3">
        <v>1188.0</v>
      </c>
      <c r="G107" s="1">
        <f t="shared" si="1"/>
        <v>4</v>
      </c>
    </row>
    <row r="108">
      <c r="A108" s="2">
        <v>45764.0</v>
      </c>
      <c r="B108" s="1">
        <v>82162.0</v>
      </c>
      <c r="C108" s="1">
        <v>1007.0</v>
      </c>
      <c r="D108" s="3">
        <v>1787.0</v>
      </c>
      <c r="E108" s="1">
        <v>20.0</v>
      </c>
      <c r="F108" s="3">
        <v>3433.0</v>
      </c>
      <c r="G108" s="1">
        <f t="shared" si="1"/>
        <v>4</v>
      </c>
    </row>
    <row r="109">
      <c r="A109" s="2">
        <v>45765.0</v>
      </c>
      <c r="B109" s="1">
        <v>100916.0</v>
      </c>
      <c r="C109" s="1">
        <v>1972.0</v>
      </c>
      <c r="D109" s="3">
        <v>2696.0</v>
      </c>
      <c r="E109" s="1">
        <v>47.0</v>
      </c>
      <c r="F109" s="3">
        <v>5840.0</v>
      </c>
      <c r="G109" s="1">
        <f t="shared" si="1"/>
        <v>4</v>
      </c>
    </row>
    <row r="110">
      <c r="A110" s="2">
        <v>45766.0</v>
      </c>
      <c r="B110" s="1">
        <v>20494.0</v>
      </c>
      <c r="C110" s="1">
        <v>411.0</v>
      </c>
      <c r="D110" s="3">
        <v>734.0</v>
      </c>
      <c r="E110" s="1">
        <v>4.0</v>
      </c>
      <c r="F110" s="3">
        <v>669.0</v>
      </c>
      <c r="G110" s="1">
        <f t="shared" si="1"/>
        <v>4</v>
      </c>
    </row>
    <row r="111">
      <c r="A111" s="2">
        <v>45767.0</v>
      </c>
      <c r="B111" s="1">
        <v>47284.0</v>
      </c>
      <c r="C111" s="1">
        <v>707.0</v>
      </c>
      <c r="D111" s="3">
        <v>1291.0</v>
      </c>
      <c r="E111" s="1">
        <v>16.0</v>
      </c>
      <c r="F111" s="3">
        <v>3600.0</v>
      </c>
      <c r="G111" s="1">
        <f t="shared" si="1"/>
        <v>4</v>
      </c>
    </row>
    <row r="112">
      <c r="A112" s="2">
        <v>45768.0</v>
      </c>
      <c r="B112" s="1">
        <v>78176.0</v>
      </c>
      <c r="C112" s="1">
        <v>2261.0</v>
      </c>
      <c r="D112" s="3">
        <v>3261.0</v>
      </c>
      <c r="E112" s="1">
        <v>56.0</v>
      </c>
      <c r="F112" s="3">
        <v>10954.0</v>
      </c>
      <c r="G112" s="1">
        <f t="shared" si="1"/>
        <v>4</v>
      </c>
    </row>
    <row r="113">
      <c r="A113" s="2">
        <v>45769.0</v>
      </c>
      <c r="B113" s="1">
        <v>89388.0</v>
      </c>
      <c r="C113" s="1">
        <v>1918.0</v>
      </c>
      <c r="D113" s="3">
        <v>3469.0</v>
      </c>
      <c r="E113" s="1">
        <v>28.0</v>
      </c>
      <c r="F113" s="3">
        <v>4371.0</v>
      </c>
      <c r="G113" s="1">
        <f t="shared" si="1"/>
        <v>4</v>
      </c>
    </row>
    <row r="114">
      <c r="A114" s="2">
        <v>45770.0</v>
      </c>
      <c r="B114" s="1">
        <v>77748.0</v>
      </c>
      <c r="C114" s="1">
        <v>2094.0</v>
      </c>
      <c r="D114" s="3">
        <v>2230.0</v>
      </c>
      <c r="E114" s="1">
        <v>36.0</v>
      </c>
      <c r="F114" s="3">
        <v>6501.0</v>
      </c>
      <c r="G114" s="1">
        <f t="shared" si="1"/>
        <v>4</v>
      </c>
    </row>
    <row r="115">
      <c r="A115" s="2">
        <v>45771.0</v>
      </c>
      <c r="B115" s="1">
        <v>94167.0</v>
      </c>
      <c r="C115" s="1">
        <v>1058.0</v>
      </c>
      <c r="D115" s="3">
        <v>1999.0</v>
      </c>
      <c r="E115" s="1">
        <v>24.0</v>
      </c>
      <c r="F115" s="3">
        <v>4267.0</v>
      </c>
      <c r="G115" s="1">
        <f t="shared" si="1"/>
        <v>4</v>
      </c>
    </row>
    <row r="116">
      <c r="A116" s="2">
        <v>45772.0</v>
      </c>
      <c r="B116" s="1">
        <v>47093.0</v>
      </c>
      <c r="C116" s="1">
        <v>1075.0</v>
      </c>
      <c r="D116" s="3">
        <v>2054.0</v>
      </c>
      <c r="E116" s="1">
        <v>24.0</v>
      </c>
      <c r="F116" s="3">
        <v>4539.0</v>
      </c>
      <c r="G116" s="1">
        <f t="shared" si="1"/>
        <v>4</v>
      </c>
    </row>
    <row r="117">
      <c r="A117" s="2">
        <v>45773.0</v>
      </c>
      <c r="B117" s="1">
        <v>74564.0</v>
      </c>
      <c r="C117" s="1">
        <v>963.0</v>
      </c>
      <c r="D117" s="3">
        <v>1738.0</v>
      </c>
      <c r="E117" s="1">
        <v>19.0</v>
      </c>
      <c r="F117" s="3">
        <v>3606.0</v>
      </c>
      <c r="G117" s="1">
        <f t="shared" si="1"/>
        <v>4</v>
      </c>
    </row>
    <row r="118">
      <c r="A118" s="2">
        <v>45774.0</v>
      </c>
      <c r="B118" s="1">
        <v>24692.0</v>
      </c>
      <c r="C118" s="1">
        <v>530.0</v>
      </c>
      <c r="D118" s="3">
        <v>1094.0</v>
      </c>
      <c r="E118" s="1">
        <v>9.0</v>
      </c>
      <c r="F118" s="3">
        <v>1232.0</v>
      </c>
      <c r="G118" s="1">
        <f t="shared" si="1"/>
        <v>4</v>
      </c>
    </row>
    <row r="119">
      <c r="A119" s="2">
        <v>45775.0</v>
      </c>
      <c r="B119" s="1">
        <v>62217.0</v>
      </c>
      <c r="C119" s="1">
        <v>758.0</v>
      </c>
      <c r="D119" s="3">
        <v>817.0</v>
      </c>
      <c r="E119" s="1">
        <v>14.0</v>
      </c>
      <c r="F119" s="3">
        <v>2120.0</v>
      </c>
      <c r="G119" s="1">
        <f t="shared" si="1"/>
        <v>4</v>
      </c>
    </row>
    <row r="120">
      <c r="A120" s="2">
        <v>45776.0</v>
      </c>
      <c r="B120" s="1">
        <v>43646.0</v>
      </c>
      <c r="C120" s="1">
        <v>865.0</v>
      </c>
      <c r="D120" s="3">
        <v>1049.0</v>
      </c>
      <c r="E120" s="1">
        <v>15.0</v>
      </c>
      <c r="F120" s="3">
        <v>1917.0</v>
      </c>
      <c r="G120" s="1">
        <f t="shared" si="1"/>
        <v>4</v>
      </c>
    </row>
    <row r="121">
      <c r="A121" s="2">
        <v>45777.0</v>
      </c>
      <c r="B121" s="1">
        <v>71389.0</v>
      </c>
      <c r="C121" s="1">
        <v>1246.0</v>
      </c>
      <c r="D121" s="3">
        <v>2223.0</v>
      </c>
      <c r="E121" s="1">
        <v>24.0</v>
      </c>
      <c r="F121" s="3">
        <v>3196.0</v>
      </c>
      <c r="G121" s="1">
        <f t="shared" si="1"/>
        <v>4</v>
      </c>
    </row>
    <row r="122">
      <c r="A122" s="2">
        <v>45778.0</v>
      </c>
      <c r="B122" s="1">
        <v>12921.0</v>
      </c>
      <c r="C122" s="1">
        <v>236.0</v>
      </c>
      <c r="D122" s="3">
        <v>304.0</v>
      </c>
      <c r="E122" s="1">
        <v>4.0</v>
      </c>
      <c r="F122" s="3">
        <v>536.0</v>
      </c>
      <c r="G122" s="1">
        <f t="shared" si="1"/>
        <v>5</v>
      </c>
    </row>
    <row r="123">
      <c r="A123" s="2">
        <v>45779.0</v>
      </c>
      <c r="B123" s="1">
        <v>103581.0</v>
      </c>
      <c r="C123" s="1">
        <v>1340.0</v>
      </c>
      <c r="D123" s="3">
        <v>1866.0</v>
      </c>
      <c r="E123" s="1">
        <v>26.0</v>
      </c>
      <c r="F123" s="3">
        <v>2804.0</v>
      </c>
      <c r="G123" s="1">
        <f t="shared" si="1"/>
        <v>5</v>
      </c>
    </row>
    <row r="124">
      <c r="A124" s="2">
        <v>45780.0</v>
      </c>
      <c r="B124" s="1">
        <v>54332.0</v>
      </c>
      <c r="C124" s="1">
        <v>1428.0</v>
      </c>
      <c r="D124" s="3">
        <v>2190.0</v>
      </c>
      <c r="E124" s="1">
        <v>25.0</v>
      </c>
      <c r="F124" s="3">
        <v>3204.0</v>
      </c>
      <c r="G124" s="1">
        <f t="shared" si="1"/>
        <v>5</v>
      </c>
    </row>
    <row r="125">
      <c r="A125" s="2">
        <v>45781.0</v>
      </c>
      <c r="B125" s="1">
        <v>55120.0</v>
      </c>
      <c r="C125" s="1">
        <v>1418.0</v>
      </c>
      <c r="D125" s="3">
        <v>2187.0</v>
      </c>
      <c r="E125" s="1">
        <v>31.0</v>
      </c>
      <c r="F125" s="3">
        <v>4734.0</v>
      </c>
      <c r="G125" s="1">
        <f t="shared" si="1"/>
        <v>5</v>
      </c>
    </row>
    <row r="126">
      <c r="A126" s="2">
        <v>45782.0</v>
      </c>
      <c r="B126" s="1">
        <v>96681.0</v>
      </c>
      <c r="C126" s="1">
        <v>1609.0</v>
      </c>
      <c r="D126" s="3">
        <v>3118.0</v>
      </c>
      <c r="E126" s="1">
        <v>41.0</v>
      </c>
      <c r="F126" s="3">
        <v>6627.0</v>
      </c>
      <c r="G126" s="1">
        <f t="shared" si="1"/>
        <v>5</v>
      </c>
    </row>
    <row r="127">
      <c r="A127" s="2">
        <v>45783.0</v>
      </c>
      <c r="B127" s="1">
        <v>49655.0</v>
      </c>
      <c r="C127" s="1">
        <v>1000.0</v>
      </c>
      <c r="D127" s="3">
        <v>967.0</v>
      </c>
      <c r="E127" s="1">
        <v>18.0</v>
      </c>
      <c r="F127" s="3">
        <v>2988.0</v>
      </c>
      <c r="G127" s="1">
        <f t="shared" si="1"/>
        <v>5</v>
      </c>
    </row>
    <row r="128">
      <c r="A128" s="2">
        <v>45784.0</v>
      </c>
      <c r="B128" s="1">
        <v>63861.0</v>
      </c>
      <c r="C128" s="1">
        <v>1700.0</v>
      </c>
      <c r="D128" s="3">
        <v>3788.0</v>
      </c>
      <c r="E128" s="1">
        <v>26.0</v>
      </c>
      <c r="F128" s="3">
        <v>2707.0</v>
      </c>
      <c r="G128" s="1">
        <f t="shared" si="1"/>
        <v>5</v>
      </c>
    </row>
    <row r="129">
      <c r="A129" s="2">
        <v>45785.0</v>
      </c>
      <c r="B129" s="1">
        <v>21459.0</v>
      </c>
      <c r="C129" s="1">
        <v>453.0</v>
      </c>
      <c r="D129" s="3">
        <v>595.0</v>
      </c>
      <c r="E129" s="1">
        <v>6.0</v>
      </c>
      <c r="F129" s="3">
        <v>947.0</v>
      </c>
      <c r="G129" s="1">
        <f t="shared" si="1"/>
        <v>5</v>
      </c>
    </row>
    <row r="130">
      <c r="A130" s="2">
        <v>45786.0</v>
      </c>
      <c r="B130" s="1">
        <v>84694.0</v>
      </c>
      <c r="C130" s="1">
        <v>2083.0</v>
      </c>
      <c r="D130" s="3">
        <v>2461.0</v>
      </c>
      <c r="E130" s="1">
        <v>47.0</v>
      </c>
      <c r="F130" s="3">
        <v>7073.0</v>
      </c>
      <c r="G130" s="1">
        <f t="shared" si="1"/>
        <v>5</v>
      </c>
    </row>
    <row r="131">
      <c r="A131" s="2">
        <v>45787.0</v>
      </c>
      <c r="B131" s="1">
        <v>67730.0</v>
      </c>
      <c r="C131" s="1">
        <v>2042.0</v>
      </c>
      <c r="D131" s="3">
        <v>3410.0</v>
      </c>
      <c r="E131" s="1">
        <v>41.0</v>
      </c>
      <c r="F131" s="3">
        <v>5943.0</v>
      </c>
      <c r="G131" s="1">
        <f t="shared" si="1"/>
        <v>5</v>
      </c>
    </row>
    <row r="132">
      <c r="A132" s="2">
        <v>45788.0</v>
      </c>
      <c r="B132" s="1">
        <v>11298.0</v>
      </c>
      <c r="C132" s="1">
        <v>221.0</v>
      </c>
      <c r="D132" s="3">
        <v>476.0</v>
      </c>
      <c r="E132" s="1">
        <v>4.0</v>
      </c>
      <c r="F132" s="3">
        <v>446.0</v>
      </c>
      <c r="G132" s="1">
        <f t="shared" si="1"/>
        <v>5</v>
      </c>
    </row>
    <row r="133">
      <c r="A133" s="2">
        <v>45789.0</v>
      </c>
      <c r="B133" s="1">
        <v>29109.0</v>
      </c>
      <c r="C133" s="1">
        <v>838.0</v>
      </c>
      <c r="D133" s="3">
        <v>1285.0</v>
      </c>
      <c r="E133" s="1">
        <v>12.0</v>
      </c>
      <c r="F133" s="3">
        <v>2401.0</v>
      </c>
      <c r="G133" s="1">
        <f t="shared" si="1"/>
        <v>5</v>
      </c>
    </row>
    <row r="134">
      <c r="A134" s="2">
        <v>45790.0</v>
      </c>
      <c r="B134" s="1">
        <v>44468.0</v>
      </c>
      <c r="C134" s="1">
        <v>833.0</v>
      </c>
      <c r="D134" s="3">
        <v>962.0</v>
      </c>
      <c r="E134" s="1">
        <v>13.0</v>
      </c>
      <c r="F134" s="3">
        <v>1802.0</v>
      </c>
      <c r="G134" s="1">
        <f t="shared" si="1"/>
        <v>5</v>
      </c>
    </row>
    <row r="135">
      <c r="A135" s="2">
        <v>45791.0</v>
      </c>
      <c r="B135" s="1">
        <v>90661.0</v>
      </c>
      <c r="C135" s="1">
        <v>1514.0</v>
      </c>
      <c r="D135" s="3">
        <v>3002.0</v>
      </c>
      <c r="E135" s="1">
        <v>18.0</v>
      </c>
      <c r="F135" s="3">
        <v>2201.0</v>
      </c>
      <c r="G135" s="1">
        <f t="shared" si="1"/>
        <v>5</v>
      </c>
    </row>
    <row r="136">
      <c r="A136" s="2">
        <v>45792.0</v>
      </c>
      <c r="B136" s="1">
        <v>16417.0</v>
      </c>
      <c r="C136" s="1">
        <v>375.0</v>
      </c>
      <c r="D136" s="3">
        <v>338.0</v>
      </c>
      <c r="E136" s="1">
        <v>7.0</v>
      </c>
      <c r="F136" s="3">
        <v>977.0</v>
      </c>
      <c r="G136" s="1">
        <f t="shared" si="1"/>
        <v>5</v>
      </c>
    </row>
    <row r="137">
      <c r="A137" s="2">
        <v>45793.0</v>
      </c>
      <c r="B137" s="1">
        <v>58031.0</v>
      </c>
      <c r="C137" s="1">
        <v>1173.0</v>
      </c>
      <c r="D137" s="3">
        <v>1358.0</v>
      </c>
      <c r="E137" s="1">
        <v>30.0</v>
      </c>
      <c r="F137" s="3">
        <v>5036.0</v>
      </c>
      <c r="G137" s="1">
        <f t="shared" si="1"/>
        <v>5</v>
      </c>
    </row>
    <row r="138">
      <c r="A138" s="2">
        <v>45794.0</v>
      </c>
      <c r="B138" s="1">
        <v>47140.0</v>
      </c>
      <c r="C138" s="1">
        <v>914.0</v>
      </c>
      <c r="D138" s="3">
        <v>1198.0</v>
      </c>
      <c r="E138" s="1">
        <v>15.0</v>
      </c>
      <c r="F138" s="3">
        <v>2108.0</v>
      </c>
      <c r="G138" s="1">
        <f t="shared" si="1"/>
        <v>5</v>
      </c>
    </row>
    <row r="139">
      <c r="A139" s="2">
        <v>45795.0</v>
      </c>
      <c r="B139" s="1">
        <v>90411.0</v>
      </c>
      <c r="C139" s="1">
        <v>1358.0</v>
      </c>
      <c r="D139" s="3">
        <v>2312.0</v>
      </c>
      <c r="E139" s="1">
        <v>35.0</v>
      </c>
      <c r="F139" s="3">
        <v>5335.0</v>
      </c>
      <c r="G139" s="1">
        <f t="shared" si="1"/>
        <v>5</v>
      </c>
    </row>
    <row r="140">
      <c r="A140" s="2">
        <v>45796.0</v>
      </c>
      <c r="B140" s="1">
        <v>66203.0</v>
      </c>
      <c r="C140" s="1">
        <v>1881.0</v>
      </c>
      <c r="D140" s="3">
        <v>2590.0</v>
      </c>
      <c r="E140" s="1">
        <v>43.0</v>
      </c>
      <c r="F140" s="3">
        <v>6943.0</v>
      </c>
      <c r="G140" s="1">
        <f t="shared" si="1"/>
        <v>5</v>
      </c>
    </row>
    <row r="141">
      <c r="A141" s="2">
        <v>45797.0</v>
      </c>
      <c r="B141" s="1">
        <v>76395.0</v>
      </c>
      <c r="C141" s="1">
        <v>837.0</v>
      </c>
      <c r="D141" s="3">
        <v>1011.0</v>
      </c>
      <c r="E141" s="1">
        <v>10.0</v>
      </c>
      <c r="F141" s="3">
        <v>1181.0</v>
      </c>
      <c r="G141" s="1">
        <f t="shared" si="1"/>
        <v>5</v>
      </c>
    </row>
    <row r="142">
      <c r="A142" s="2">
        <v>45798.0</v>
      </c>
      <c r="B142" s="1">
        <v>91812.0</v>
      </c>
      <c r="C142" s="1">
        <v>1149.0</v>
      </c>
      <c r="D142" s="3">
        <v>1684.0</v>
      </c>
      <c r="E142" s="1">
        <v>27.0</v>
      </c>
      <c r="F142" s="3">
        <v>4979.0</v>
      </c>
      <c r="G142" s="1">
        <f t="shared" si="1"/>
        <v>5</v>
      </c>
    </row>
    <row r="143">
      <c r="A143" s="2">
        <v>45799.0</v>
      </c>
      <c r="B143" s="1">
        <v>58771.0</v>
      </c>
      <c r="C143" s="1">
        <v>613.0</v>
      </c>
      <c r="D143" s="3">
        <v>1228.0</v>
      </c>
      <c r="E143" s="1">
        <v>15.0</v>
      </c>
      <c r="F143" s="3">
        <v>2103.0</v>
      </c>
      <c r="G143" s="1">
        <f t="shared" si="1"/>
        <v>5</v>
      </c>
    </row>
    <row r="144">
      <c r="A144" s="2">
        <v>45800.0</v>
      </c>
      <c r="B144" s="1">
        <v>75641.0</v>
      </c>
      <c r="C144" s="1">
        <v>1049.0</v>
      </c>
      <c r="D144" s="3">
        <v>1817.0</v>
      </c>
      <c r="E144" s="1">
        <v>18.0</v>
      </c>
      <c r="F144" s="3">
        <v>3100.0</v>
      </c>
      <c r="G144" s="1">
        <f t="shared" si="1"/>
        <v>5</v>
      </c>
    </row>
    <row r="145">
      <c r="A145" s="2">
        <v>45801.0</v>
      </c>
      <c r="B145" s="1">
        <v>92985.0</v>
      </c>
      <c r="C145" s="1">
        <v>1003.0</v>
      </c>
      <c r="D145" s="3">
        <v>1612.0</v>
      </c>
      <c r="E145" s="1">
        <v>17.0</v>
      </c>
      <c r="F145" s="3">
        <v>2647.0</v>
      </c>
      <c r="G145" s="1">
        <f t="shared" si="1"/>
        <v>5</v>
      </c>
    </row>
    <row r="146">
      <c r="A146" s="2">
        <v>45802.0</v>
      </c>
      <c r="B146" s="1">
        <v>66186.0</v>
      </c>
      <c r="C146" s="1">
        <v>1708.0</v>
      </c>
      <c r="D146" s="3">
        <v>3574.0</v>
      </c>
      <c r="E146" s="1">
        <v>24.0</v>
      </c>
      <c r="F146" s="3">
        <v>3426.0</v>
      </c>
      <c r="G146" s="1">
        <f t="shared" si="1"/>
        <v>5</v>
      </c>
    </row>
    <row r="147">
      <c r="A147" s="2">
        <v>45803.0</v>
      </c>
      <c r="B147" s="1">
        <v>78687.0</v>
      </c>
      <c r="C147" s="1">
        <v>2106.0</v>
      </c>
      <c r="D147" s="3">
        <v>3613.0</v>
      </c>
      <c r="E147" s="1">
        <v>43.0</v>
      </c>
      <c r="F147" s="3">
        <v>6825.0</v>
      </c>
      <c r="G147" s="1">
        <f t="shared" si="1"/>
        <v>5</v>
      </c>
    </row>
    <row r="148">
      <c r="A148" s="2">
        <v>45804.0</v>
      </c>
      <c r="B148" s="1">
        <v>30424.0</v>
      </c>
      <c r="C148" s="1">
        <v>705.0</v>
      </c>
      <c r="D148" s="3">
        <v>983.0</v>
      </c>
      <c r="E148" s="1">
        <v>10.0</v>
      </c>
      <c r="F148" s="3">
        <v>1825.0</v>
      </c>
      <c r="G148" s="1">
        <f t="shared" si="1"/>
        <v>5</v>
      </c>
    </row>
    <row r="149">
      <c r="A149" s="2">
        <v>45805.0</v>
      </c>
      <c r="B149" s="1">
        <v>70366.0</v>
      </c>
      <c r="C149" s="1">
        <v>2205.0</v>
      </c>
      <c r="D149" s="3">
        <v>3427.0</v>
      </c>
      <c r="E149" s="1">
        <v>45.0</v>
      </c>
      <c r="F149" s="3">
        <v>7945.0</v>
      </c>
      <c r="G149" s="1">
        <f t="shared" si="1"/>
        <v>5</v>
      </c>
    </row>
    <row r="150">
      <c r="A150" s="2">
        <v>45806.0</v>
      </c>
      <c r="B150" s="1">
        <v>62817.0</v>
      </c>
      <c r="C150" s="1">
        <v>1155.0</v>
      </c>
      <c r="D150" s="3">
        <v>1311.0</v>
      </c>
      <c r="E150" s="1">
        <v>28.0</v>
      </c>
      <c r="F150" s="3">
        <v>3567.0</v>
      </c>
      <c r="G150" s="1">
        <f t="shared" si="1"/>
        <v>5</v>
      </c>
    </row>
    <row r="151">
      <c r="A151" s="2">
        <v>45807.0</v>
      </c>
      <c r="B151" s="1">
        <v>38503.0</v>
      </c>
      <c r="C151" s="1">
        <v>1107.0</v>
      </c>
      <c r="D151" s="3">
        <v>2252.0</v>
      </c>
      <c r="E151" s="1">
        <v>19.0</v>
      </c>
      <c r="F151" s="3">
        <v>3816.0</v>
      </c>
      <c r="G151" s="1">
        <f t="shared" si="1"/>
        <v>5</v>
      </c>
    </row>
    <row r="152">
      <c r="A152" s="2">
        <v>45808.0</v>
      </c>
      <c r="B152" s="1">
        <v>22102.0</v>
      </c>
      <c r="C152" s="1">
        <v>335.0</v>
      </c>
      <c r="D152" s="3">
        <v>429.0</v>
      </c>
      <c r="E152" s="1">
        <v>4.0</v>
      </c>
      <c r="F152" s="3">
        <v>701.0</v>
      </c>
      <c r="G152" s="1">
        <f t="shared" si="1"/>
        <v>5</v>
      </c>
    </row>
    <row r="153">
      <c r="A153" s="2">
        <v>45809.0</v>
      </c>
      <c r="B153" s="1">
        <v>50120.0</v>
      </c>
      <c r="C153" s="1">
        <v>1288.0</v>
      </c>
      <c r="D153" s="3">
        <v>1271.0</v>
      </c>
      <c r="E153" s="1">
        <v>21.0</v>
      </c>
      <c r="F153" s="3">
        <v>2836.0</v>
      </c>
      <c r="G153" s="1">
        <f t="shared" si="1"/>
        <v>6</v>
      </c>
    </row>
    <row r="154">
      <c r="A154" s="2">
        <v>45810.0</v>
      </c>
      <c r="B154" s="1">
        <v>93058.0</v>
      </c>
      <c r="C154" s="1">
        <v>1684.0</v>
      </c>
      <c r="D154" s="3">
        <v>3313.0</v>
      </c>
      <c r="E154" s="1">
        <v>40.0</v>
      </c>
      <c r="F154" s="3">
        <v>4000.0</v>
      </c>
      <c r="G154" s="1">
        <f t="shared" si="1"/>
        <v>6</v>
      </c>
    </row>
    <row r="155">
      <c r="A155" s="2">
        <v>45811.0</v>
      </c>
      <c r="B155" s="1">
        <v>25134.0</v>
      </c>
      <c r="C155" s="1">
        <v>578.0</v>
      </c>
      <c r="D155" s="3">
        <v>1066.0</v>
      </c>
      <c r="E155" s="1">
        <v>13.0</v>
      </c>
      <c r="F155" s="3">
        <v>2492.0</v>
      </c>
      <c r="G155" s="1">
        <f t="shared" si="1"/>
        <v>6</v>
      </c>
    </row>
    <row r="156">
      <c r="A156" s="2">
        <v>45812.0</v>
      </c>
      <c r="B156" s="1">
        <v>54615.0</v>
      </c>
      <c r="C156" s="1">
        <v>1112.0</v>
      </c>
      <c r="D156" s="3">
        <v>1886.0</v>
      </c>
      <c r="E156" s="1">
        <v>30.0</v>
      </c>
      <c r="F156" s="3">
        <v>3273.0</v>
      </c>
      <c r="G156" s="1">
        <f t="shared" si="1"/>
        <v>6</v>
      </c>
    </row>
    <row r="157">
      <c r="A157" s="2">
        <v>45813.0</v>
      </c>
      <c r="B157" s="1">
        <v>62835.0</v>
      </c>
      <c r="C157" s="1">
        <v>1859.0</v>
      </c>
      <c r="D157" s="3">
        <v>2105.0</v>
      </c>
      <c r="E157" s="1">
        <v>39.0</v>
      </c>
      <c r="F157" s="3">
        <v>5184.0</v>
      </c>
      <c r="G157" s="1">
        <f t="shared" si="1"/>
        <v>6</v>
      </c>
    </row>
    <row r="158">
      <c r="A158" s="2">
        <v>45814.0</v>
      </c>
      <c r="B158" s="1">
        <v>76734.0</v>
      </c>
      <c r="C158" s="1">
        <v>1230.0</v>
      </c>
      <c r="D158" s="3">
        <v>2439.0</v>
      </c>
      <c r="E158" s="1">
        <v>27.0</v>
      </c>
      <c r="F158" s="3">
        <v>3115.0</v>
      </c>
      <c r="G158" s="1">
        <f t="shared" si="1"/>
        <v>6</v>
      </c>
    </row>
    <row r="159">
      <c r="A159" s="2">
        <v>45815.0</v>
      </c>
      <c r="B159" s="1">
        <v>71613.0</v>
      </c>
      <c r="C159" s="1">
        <v>1530.0</v>
      </c>
      <c r="D159" s="3">
        <v>2011.0</v>
      </c>
      <c r="E159" s="1">
        <v>34.0</v>
      </c>
      <c r="F159" s="3">
        <v>6967.0</v>
      </c>
      <c r="G159" s="1">
        <f t="shared" si="1"/>
        <v>6</v>
      </c>
    </row>
    <row r="160">
      <c r="A160" s="2">
        <v>45816.0</v>
      </c>
      <c r="B160" s="1">
        <v>91004.0</v>
      </c>
      <c r="C160" s="1">
        <v>2013.0</v>
      </c>
      <c r="D160" s="3">
        <v>2560.0</v>
      </c>
      <c r="E160" s="1">
        <v>32.0</v>
      </c>
      <c r="F160" s="3">
        <v>7188.0</v>
      </c>
      <c r="G160" s="1">
        <f t="shared" si="1"/>
        <v>6</v>
      </c>
    </row>
    <row r="161">
      <c r="A161" s="2">
        <v>45817.0</v>
      </c>
      <c r="B161" s="1">
        <v>43271.0</v>
      </c>
      <c r="C161" s="1">
        <v>604.0</v>
      </c>
      <c r="D161" s="3">
        <v>963.0</v>
      </c>
      <c r="E161" s="1">
        <v>8.0</v>
      </c>
      <c r="F161" s="3">
        <v>1079.0</v>
      </c>
      <c r="G161" s="1">
        <f t="shared" si="1"/>
        <v>6</v>
      </c>
    </row>
    <row r="162">
      <c r="A162" s="2">
        <v>45818.0</v>
      </c>
      <c r="B162" s="1">
        <v>82193.0</v>
      </c>
      <c r="C162" s="1">
        <v>2477.0</v>
      </c>
      <c r="D162" s="3">
        <v>2685.0</v>
      </c>
      <c r="E162" s="1">
        <v>31.0</v>
      </c>
      <c r="F162" s="3">
        <v>3895.0</v>
      </c>
      <c r="G162" s="1">
        <f t="shared" si="1"/>
        <v>6</v>
      </c>
    </row>
    <row r="163">
      <c r="A163" s="2">
        <v>45819.0</v>
      </c>
      <c r="B163" s="1">
        <v>94018.0</v>
      </c>
      <c r="C163" s="1">
        <v>1165.0</v>
      </c>
      <c r="D163" s="3">
        <v>1513.0</v>
      </c>
      <c r="E163" s="1">
        <v>14.0</v>
      </c>
      <c r="F163" s="3">
        <v>2727.0</v>
      </c>
      <c r="G163" s="1">
        <f t="shared" si="1"/>
        <v>6</v>
      </c>
    </row>
    <row r="164">
      <c r="A164" s="2">
        <v>45820.0</v>
      </c>
      <c r="B164" s="1">
        <v>18365.0</v>
      </c>
      <c r="C164" s="1">
        <v>400.0</v>
      </c>
      <c r="D164" s="3">
        <v>478.0</v>
      </c>
      <c r="E164" s="1">
        <v>8.0</v>
      </c>
      <c r="F164" s="3">
        <v>1616.0</v>
      </c>
      <c r="G164" s="1">
        <f t="shared" si="1"/>
        <v>6</v>
      </c>
    </row>
    <row r="165">
      <c r="A165" s="2">
        <v>45821.0</v>
      </c>
      <c r="B165" s="1">
        <v>40263.0</v>
      </c>
      <c r="C165" s="1">
        <v>1219.0</v>
      </c>
      <c r="D165" s="3">
        <v>2622.0</v>
      </c>
      <c r="E165" s="1">
        <v>30.0</v>
      </c>
      <c r="F165" s="3">
        <v>5056.0</v>
      </c>
      <c r="G165" s="1">
        <f t="shared" si="1"/>
        <v>6</v>
      </c>
    </row>
    <row r="166">
      <c r="A166" s="2">
        <v>45822.0</v>
      </c>
      <c r="B166" s="1">
        <v>63312.0</v>
      </c>
      <c r="C166" s="1">
        <v>1142.0</v>
      </c>
      <c r="D166" s="3">
        <v>1531.0</v>
      </c>
      <c r="E166" s="1">
        <v>22.0</v>
      </c>
      <c r="F166" s="3">
        <v>3795.0</v>
      </c>
      <c r="G166" s="1">
        <f t="shared" si="1"/>
        <v>6</v>
      </c>
    </row>
    <row r="167">
      <c r="A167" s="2">
        <v>45823.0</v>
      </c>
      <c r="B167" s="1">
        <v>77585.0</v>
      </c>
      <c r="C167" s="1">
        <v>2126.0</v>
      </c>
      <c r="D167" s="3">
        <v>2678.0</v>
      </c>
      <c r="E167" s="1">
        <v>54.0</v>
      </c>
      <c r="F167" s="3">
        <v>9400.0</v>
      </c>
      <c r="G167" s="1">
        <f t="shared" si="1"/>
        <v>6</v>
      </c>
    </row>
    <row r="168">
      <c r="A168" s="2">
        <v>45824.0</v>
      </c>
      <c r="B168" s="1">
        <v>87900.0</v>
      </c>
      <c r="C168" s="1">
        <v>2531.0</v>
      </c>
      <c r="D168" s="3">
        <v>4726.0</v>
      </c>
      <c r="E168" s="1">
        <v>46.0</v>
      </c>
      <c r="F168" s="3">
        <v>6813.0</v>
      </c>
      <c r="G168" s="1">
        <f t="shared" si="1"/>
        <v>6</v>
      </c>
    </row>
    <row r="169">
      <c r="A169" s="2">
        <v>45825.0</v>
      </c>
      <c r="B169" s="1">
        <v>30114.0</v>
      </c>
      <c r="C169" s="1">
        <v>461.0</v>
      </c>
      <c r="D169" s="3">
        <v>690.0</v>
      </c>
      <c r="E169" s="1">
        <v>7.0</v>
      </c>
      <c r="F169" s="3">
        <v>1105.0</v>
      </c>
      <c r="G169" s="1">
        <f t="shared" si="1"/>
        <v>6</v>
      </c>
    </row>
    <row r="170">
      <c r="A170" s="2">
        <v>45826.0</v>
      </c>
      <c r="B170" s="1">
        <v>30566.0</v>
      </c>
      <c r="C170" s="1">
        <v>337.0</v>
      </c>
      <c r="D170" s="3">
        <v>729.0</v>
      </c>
      <c r="E170" s="1">
        <v>6.0</v>
      </c>
      <c r="F170" s="3">
        <v>955.0</v>
      </c>
      <c r="G170" s="1">
        <f t="shared" si="1"/>
        <v>6</v>
      </c>
    </row>
    <row r="171">
      <c r="A171" s="2">
        <v>45827.0</v>
      </c>
      <c r="B171" s="1">
        <v>43028.0</v>
      </c>
      <c r="C171" s="1">
        <v>1145.0</v>
      </c>
      <c r="D171" s="3">
        <v>1308.0</v>
      </c>
      <c r="E171" s="1">
        <v>16.0</v>
      </c>
      <c r="F171" s="3">
        <v>2963.0</v>
      </c>
      <c r="G171" s="1">
        <f t="shared" si="1"/>
        <v>6</v>
      </c>
    </row>
    <row r="172">
      <c r="A172" s="2">
        <v>45828.0</v>
      </c>
      <c r="B172" s="1">
        <v>58773.0</v>
      </c>
      <c r="C172" s="1">
        <v>1283.0</v>
      </c>
      <c r="D172" s="3">
        <v>2329.0</v>
      </c>
      <c r="E172" s="1">
        <v>34.0</v>
      </c>
      <c r="F172" s="3">
        <v>6085.0</v>
      </c>
      <c r="G172" s="1">
        <f t="shared" si="1"/>
        <v>6</v>
      </c>
    </row>
    <row r="173">
      <c r="A173" s="2">
        <v>45829.0</v>
      </c>
      <c r="B173" s="1">
        <v>72129.0</v>
      </c>
      <c r="C173" s="1">
        <v>2156.0</v>
      </c>
      <c r="D173" s="3">
        <v>3282.0</v>
      </c>
      <c r="E173" s="1">
        <v>40.0</v>
      </c>
      <c r="F173" s="3">
        <v>6904.0</v>
      </c>
      <c r="G173" s="1">
        <f t="shared" si="1"/>
        <v>6</v>
      </c>
    </row>
    <row r="174">
      <c r="A174" s="2">
        <v>45830.0</v>
      </c>
      <c r="B174" s="1">
        <v>82176.0</v>
      </c>
      <c r="C174" s="1">
        <v>2279.0</v>
      </c>
      <c r="D174" s="3">
        <v>4080.0</v>
      </c>
      <c r="E174" s="1">
        <v>40.0</v>
      </c>
      <c r="F174" s="3">
        <v>6078.0</v>
      </c>
      <c r="G174" s="1">
        <f t="shared" si="1"/>
        <v>6</v>
      </c>
    </row>
    <row r="175">
      <c r="A175" s="2">
        <v>45831.0</v>
      </c>
      <c r="B175" s="1">
        <v>65342.0</v>
      </c>
      <c r="C175" s="1">
        <v>958.0</v>
      </c>
      <c r="D175" s="3">
        <v>1937.0</v>
      </c>
      <c r="E175" s="1">
        <v>21.0</v>
      </c>
      <c r="F175" s="3">
        <v>3520.0</v>
      </c>
      <c r="G175" s="1">
        <f t="shared" si="1"/>
        <v>6</v>
      </c>
    </row>
    <row r="176">
      <c r="A176" s="2">
        <v>45832.0</v>
      </c>
      <c r="B176" s="1">
        <v>65538.0</v>
      </c>
      <c r="C176" s="1">
        <v>828.0</v>
      </c>
      <c r="D176" s="3">
        <v>1458.0</v>
      </c>
      <c r="E176" s="1">
        <v>17.0</v>
      </c>
      <c r="F176" s="3">
        <v>2243.0</v>
      </c>
      <c r="G176" s="1">
        <f t="shared" si="1"/>
        <v>6</v>
      </c>
    </row>
    <row r="177">
      <c r="A177" s="2">
        <v>45833.0</v>
      </c>
      <c r="B177" s="1">
        <v>30692.0</v>
      </c>
      <c r="C177" s="1">
        <v>485.0</v>
      </c>
      <c r="D177" s="3">
        <v>620.0</v>
      </c>
      <c r="E177" s="1">
        <v>8.0</v>
      </c>
      <c r="F177" s="3">
        <v>1616.0</v>
      </c>
      <c r="G177" s="1">
        <f t="shared" si="1"/>
        <v>6</v>
      </c>
    </row>
    <row r="178">
      <c r="A178" s="2">
        <v>45834.0</v>
      </c>
      <c r="B178" s="1">
        <v>74313.0</v>
      </c>
      <c r="C178" s="1">
        <v>1239.0</v>
      </c>
      <c r="D178" s="3">
        <v>2077.0</v>
      </c>
      <c r="E178" s="1">
        <v>28.0</v>
      </c>
      <c r="F178" s="3">
        <v>4642.0</v>
      </c>
      <c r="G178" s="1">
        <f t="shared" si="1"/>
        <v>6</v>
      </c>
    </row>
    <row r="179">
      <c r="A179" s="2">
        <v>45835.0</v>
      </c>
      <c r="B179" s="1">
        <v>27726.0</v>
      </c>
      <c r="C179" s="1">
        <v>713.0</v>
      </c>
      <c r="D179" s="3">
        <v>1424.0</v>
      </c>
      <c r="E179" s="1">
        <v>15.0</v>
      </c>
      <c r="F179" s="3">
        <v>2217.0</v>
      </c>
      <c r="G179" s="1">
        <f t="shared" si="1"/>
        <v>6</v>
      </c>
    </row>
    <row r="180">
      <c r="A180" s="2">
        <v>45836.0</v>
      </c>
      <c r="B180" s="1">
        <v>23031.0</v>
      </c>
      <c r="C180" s="1">
        <v>477.0</v>
      </c>
      <c r="D180" s="3">
        <v>864.0</v>
      </c>
      <c r="E180" s="1">
        <v>9.0</v>
      </c>
      <c r="F180" s="3">
        <v>1549.0</v>
      </c>
      <c r="G180" s="1">
        <f t="shared" si="1"/>
        <v>6</v>
      </c>
    </row>
    <row r="181">
      <c r="A181" s="2">
        <v>45837.0</v>
      </c>
      <c r="B181" s="1">
        <v>27504.0</v>
      </c>
      <c r="C181" s="1">
        <v>419.0</v>
      </c>
      <c r="D181" s="3">
        <v>473.0</v>
      </c>
      <c r="E181" s="1">
        <v>9.0</v>
      </c>
      <c r="F181" s="3">
        <v>1479.0</v>
      </c>
      <c r="G181" s="1">
        <f t="shared" si="1"/>
        <v>6</v>
      </c>
    </row>
    <row r="182">
      <c r="A182" s="2">
        <v>45838.0</v>
      </c>
      <c r="B182" s="1">
        <v>41452.0</v>
      </c>
      <c r="C182" s="1">
        <v>843.0</v>
      </c>
      <c r="D182" s="3">
        <v>1636.0</v>
      </c>
      <c r="E182" s="1">
        <v>17.0</v>
      </c>
      <c r="F182" s="3">
        <v>2537.0</v>
      </c>
      <c r="G182" s="1">
        <f t="shared" si="1"/>
        <v>6</v>
      </c>
    </row>
    <row r="183">
      <c r="A183" s="2">
        <v>45839.0</v>
      </c>
      <c r="B183" s="1">
        <v>84189.0</v>
      </c>
      <c r="C183" s="1">
        <v>2352.0</v>
      </c>
      <c r="D183" s="3">
        <v>3264.0</v>
      </c>
      <c r="E183" s="1">
        <v>46.0</v>
      </c>
      <c r="F183" s="3">
        <v>8158.0</v>
      </c>
      <c r="G183" s="1">
        <f t="shared" si="1"/>
        <v>7</v>
      </c>
    </row>
    <row r="184">
      <c r="A184" s="2">
        <v>45840.0</v>
      </c>
      <c r="B184" s="1">
        <v>25428.0</v>
      </c>
      <c r="C184" s="1">
        <v>637.0</v>
      </c>
      <c r="D184" s="3">
        <v>659.0</v>
      </c>
      <c r="E184" s="1">
        <v>14.0</v>
      </c>
      <c r="F184" s="3">
        <v>2290.0</v>
      </c>
      <c r="G184" s="1">
        <f t="shared" si="1"/>
        <v>7</v>
      </c>
    </row>
    <row r="185">
      <c r="A185" s="2">
        <v>45841.0</v>
      </c>
      <c r="B185" s="1">
        <v>61279.0</v>
      </c>
      <c r="C185" s="1">
        <v>1182.0</v>
      </c>
      <c r="D185" s="3">
        <v>2199.0</v>
      </c>
      <c r="E185" s="1">
        <v>16.0</v>
      </c>
      <c r="F185" s="3">
        <v>2458.0</v>
      </c>
      <c r="G185" s="1">
        <f t="shared" si="1"/>
        <v>7</v>
      </c>
    </row>
    <row r="186">
      <c r="A186" s="2">
        <v>45842.0</v>
      </c>
      <c r="B186" s="1">
        <v>71106.0</v>
      </c>
      <c r="C186" s="1">
        <v>1243.0</v>
      </c>
      <c r="D186" s="3">
        <v>1376.0</v>
      </c>
      <c r="E186" s="1">
        <v>18.0</v>
      </c>
      <c r="F186" s="3">
        <v>3181.0</v>
      </c>
      <c r="G186" s="1">
        <f t="shared" si="1"/>
        <v>7</v>
      </c>
    </row>
    <row r="187">
      <c r="A187" s="2">
        <v>45843.0</v>
      </c>
      <c r="B187" s="1">
        <v>88949.0</v>
      </c>
      <c r="C187" s="1">
        <v>2286.0</v>
      </c>
      <c r="D187" s="3">
        <v>3586.0</v>
      </c>
      <c r="E187" s="1">
        <v>28.0</v>
      </c>
      <c r="F187" s="3">
        <v>4519.0</v>
      </c>
      <c r="G187" s="1">
        <f t="shared" si="1"/>
        <v>7</v>
      </c>
    </row>
    <row r="188">
      <c r="A188" s="2">
        <v>45844.0</v>
      </c>
      <c r="B188" s="1">
        <v>26132.0</v>
      </c>
      <c r="C188" s="1">
        <v>546.0</v>
      </c>
      <c r="D188" s="3">
        <v>757.0</v>
      </c>
      <c r="E188" s="1">
        <v>7.0</v>
      </c>
      <c r="F188" s="3">
        <v>893.0</v>
      </c>
      <c r="G188" s="1">
        <f t="shared" si="1"/>
        <v>7</v>
      </c>
    </row>
    <row r="189">
      <c r="A189" s="2">
        <v>45845.0</v>
      </c>
      <c r="B189" s="1">
        <v>43244.0</v>
      </c>
      <c r="C189" s="1">
        <v>1187.0</v>
      </c>
      <c r="D189" s="3">
        <v>1829.0</v>
      </c>
      <c r="E189" s="1">
        <v>26.0</v>
      </c>
      <c r="F189" s="3">
        <v>4117.0</v>
      </c>
      <c r="G189" s="1">
        <f t="shared" si="1"/>
        <v>7</v>
      </c>
    </row>
    <row r="190">
      <c r="A190" s="2">
        <v>45846.0</v>
      </c>
      <c r="B190" s="1">
        <v>75861.0</v>
      </c>
      <c r="C190" s="1">
        <v>1348.0</v>
      </c>
      <c r="D190" s="3">
        <v>2756.0</v>
      </c>
      <c r="E190" s="1">
        <v>31.0</v>
      </c>
      <c r="F190" s="3">
        <v>3086.0</v>
      </c>
      <c r="G190" s="1">
        <f t="shared" si="1"/>
        <v>7</v>
      </c>
    </row>
    <row r="191">
      <c r="A191" s="2">
        <v>45847.0</v>
      </c>
      <c r="B191" s="1">
        <v>53933.0</v>
      </c>
      <c r="C191" s="1">
        <v>904.0</v>
      </c>
      <c r="D191" s="3">
        <v>1547.0</v>
      </c>
      <c r="E191" s="1">
        <v>17.0</v>
      </c>
      <c r="F191" s="3">
        <v>1862.0</v>
      </c>
      <c r="G191" s="1">
        <f t="shared" si="1"/>
        <v>7</v>
      </c>
    </row>
    <row r="192">
      <c r="A192" s="2">
        <v>45848.0</v>
      </c>
      <c r="B192" s="1">
        <v>49348.0</v>
      </c>
      <c r="C192" s="1">
        <v>1331.0</v>
      </c>
      <c r="D192" s="3">
        <v>1852.0</v>
      </c>
      <c r="E192" s="1">
        <v>16.0</v>
      </c>
      <c r="F192" s="3">
        <v>2223.0</v>
      </c>
      <c r="G192" s="1">
        <f t="shared" si="1"/>
        <v>7</v>
      </c>
    </row>
    <row r="193">
      <c r="A193" s="2">
        <v>45849.0</v>
      </c>
      <c r="B193" s="1">
        <v>82290.0</v>
      </c>
      <c r="C193" s="1">
        <v>1116.0</v>
      </c>
      <c r="D193" s="3">
        <v>1543.0</v>
      </c>
      <c r="E193" s="1">
        <v>17.0</v>
      </c>
      <c r="F193" s="3">
        <v>2839.0</v>
      </c>
      <c r="G193" s="1">
        <f t="shared" si="1"/>
        <v>7</v>
      </c>
    </row>
    <row r="194">
      <c r="A194" s="2">
        <v>45850.0</v>
      </c>
      <c r="B194" s="1">
        <v>88328.0</v>
      </c>
      <c r="C194" s="1">
        <v>2752.0</v>
      </c>
      <c r="D194" s="3">
        <v>3364.0</v>
      </c>
      <c r="E194" s="1">
        <v>63.0</v>
      </c>
      <c r="F194" s="3">
        <v>10160.0</v>
      </c>
      <c r="G194" s="1">
        <f t="shared" si="1"/>
        <v>7</v>
      </c>
    </row>
    <row r="195">
      <c r="A195" s="2">
        <v>45851.0</v>
      </c>
      <c r="B195" s="1">
        <v>39140.0</v>
      </c>
      <c r="C195" s="1">
        <v>1182.0</v>
      </c>
      <c r="D195" s="3">
        <v>1803.0</v>
      </c>
      <c r="E195" s="1">
        <v>21.0</v>
      </c>
      <c r="F195" s="3">
        <v>4413.0</v>
      </c>
      <c r="G195" s="1">
        <f t="shared" si="1"/>
        <v>7</v>
      </c>
    </row>
    <row r="196">
      <c r="A196" s="2">
        <v>45852.0</v>
      </c>
      <c r="B196" s="1">
        <v>51534.0</v>
      </c>
      <c r="C196" s="1">
        <v>679.0</v>
      </c>
      <c r="D196" s="3">
        <v>1087.0</v>
      </c>
      <c r="E196" s="1">
        <v>14.0</v>
      </c>
      <c r="F196" s="3">
        <v>2800.0</v>
      </c>
      <c r="G196" s="1">
        <f t="shared" si="1"/>
        <v>7</v>
      </c>
    </row>
    <row r="197">
      <c r="A197" s="2">
        <v>45853.0</v>
      </c>
      <c r="B197" s="1">
        <v>66793.0</v>
      </c>
      <c r="C197" s="1">
        <v>1164.0</v>
      </c>
      <c r="D197" s="3">
        <v>2154.0</v>
      </c>
      <c r="E197" s="1">
        <v>23.0</v>
      </c>
      <c r="F197" s="3">
        <v>3556.0</v>
      </c>
      <c r="G197" s="1">
        <f t="shared" si="1"/>
        <v>7</v>
      </c>
    </row>
    <row r="198">
      <c r="A198" s="2">
        <v>45854.0</v>
      </c>
      <c r="B198" s="1">
        <v>78188.0</v>
      </c>
      <c r="C198" s="1">
        <v>2020.0</v>
      </c>
      <c r="D198" s="3">
        <v>3553.0</v>
      </c>
      <c r="E198" s="1">
        <v>53.0</v>
      </c>
      <c r="F198" s="3">
        <v>6337.0</v>
      </c>
      <c r="G198" s="1">
        <f t="shared" si="1"/>
        <v>7</v>
      </c>
    </row>
    <row r="199">
      <c r="A199" s="2">
        <v>45855.0</v>
      </c>
      <c r="B199" s="1">
        <v>45734.0</v>
      </c>
      <c r="C199" s="1">
        <v>1260.0</v>
      </c>
      <c r="D199" s="3">
        <v>1730.0</v>
      </c>
      <c r="E199" s="1">
        <v>21.0</v>
      </c>
      <c r="F199" s="3">
        <v>4064.0</v>
      </c>
      <c r="G199" s="1">
        <f t="shared" si="1"/>
        <v>7</v>
      </c>
    </row>
    <row r="200">
      <c r="A200" s="2">
        <v>45856.0</v>
      </c>
      <c r="B200" s="1">
        <v>73680.0</v>
      </c>
      <c r="C200" s="1">
        <v>1569.0</v>
      </c>
      <c r="D200" s="3">
        <v>3248.0</v>
      </c>
      <c r="E200" s="1">
        <v>22.0</v>
      </c>
      <c r="F200" s="3">
        <v>2626.0</v>
      </c>
      <c r="G200" s="1">
        <f t="shared" si="1"/>
        <v>7</v>
      </c>
    </row>
    <row r="201">
      <c r="A201" s="2">
        <v>45857.0</v>
      </c>
      <c r="B201" s="1">
        <v>30301.0</v>
      </c>
      <c r="C201" s="1">
        <v>434.0</v>
      </c>
      <c r="D201" s="3">
        <v>529.0</v>
      </c>
      <c r="E201" s="1">
        <v>11.0</v>
      </c>
      <c r="F201" s="3">
        <v>1442.0</v>
      </c>
      <c r="G201" s="1">
        <f t="shared" si="1"/>
        <v>7</v>
      </c>
    </row>
    <row r="202">
      <c r="A202" s="2">
        <v>45858.0</v>
      </c>
      <c r="B202" s="1">
        <v>30343.0</v>
      </c>
      <c r="C202" s="1">
        <v>994.0</v>
      </c>
      <c r="D202" s="3">
        <v>1430.0</v>
      </c>
      <c r="E202" s="1">
        <v>12.0</v>
      </c>
      <c r="F202" s="3">
        <v>2047.0</v>
      </c>
      <c r="G202" s="1">
        <f t="shared" si="1"/>
        <v>7</v>
      </c>
    </row>
    <row r="203">
      <c r="A203" s="2">
        <v>45859.0</v>
      </c>
      <c r="B203" s="1">
        <v>21615.0</v>
      </c>
      <c r="C203" s="1">
        <v>269.0</v>
      </c>
      <c r="D203" s="3">
        <v>353.0</v>
      </c>
      <c r="E203" s="1">
        <v>7.0</v>
      </c>
      <c r="F203" s="3">
        <v>909.0</v>
      </c>
      <c r="G203" s="1">
        <f t="shared" si="1"/>
        <v>7</v>
      </c>
    </row>
    <row r="204">
      <c r="A204" s="2">
        <v>45860.0</v>
      </c>
      <c r="B204" s="1">
        <v>21183.0</v>
      </c>
      <c r="C204" s="1">
        <v>374.0</v>
      </c>
      <c r="D204" s="3">
        <v>671.0</v>
      </c>
      <c r="E204" s="1">
        <v>5.0</v>
      </c>
      <c r="F204" s="3">
        <v>590.0</v>
      </c>
      <c r="G204" s="1">
        <f t="shared" si="1"/>
        <v>7</v>
      </c>
    </row>
    <row r="205">
      <c r="A205" s="2">
        <v>45861.0</v>
      </c>
      <c r="B205" s="1">
        <v>16435.0</v>
      </c>
      <c r="C205" s="1">
        <v>370.0</v>
      </c>
      <c r="D205" s="3">
        <v>676.0</v>
      </c>
      <c r="E205" s="1">
        <v>8.0</v>
      </c>
      <c r="F205" s="3">
        <v>1532.0</v>
      </c>
      <c r="G205" s="1">
        <f t="shared" si="1"/>
        <v>7</v>
      </c>
    </row>
    <row r="206">
      <c r="A206" s="2">
        <v>45862.0</v>
      </c>
      <c r="B206" s="1">
        <v>86669.0</v>
      </c>
      <c r="C206" s="1">
        <v>2094.0</v>
      </c>
      <c r="D206" s="3">
        <v>2228.0</v>
      </c>
      <c r="E206" s="1">
        <v>33.0</v>
      </c>
      <c r="F206" s="3">
        <v>3729.0</v>
      </c>
      <c r="G206" s="1">
        <f t="shared" si="1"/>
        <v>7</v>
      </c>
    </row>
    <row r="207">
      <c r="A207" s="2">
        <v>45863.0</v>
      </c>
      <c r="B207" s="1">
        <v>41574.0</v>
      </c>
      <c r="C207" s="1">
        <v>432.0</v>
      </c>
      <c r="D207" s="3">
        <v>524.0</v>
      </c>
      <c r="E207" s="1">
        <v>9.0</v>
      </c>
      <c r="F207" s="3">
        <v>1531.0</v>
      </c>
      <c r="G207" s="1">
        <f t="shared" si="1"/>
        <v>7</v>
      </c>
    </row>
    <row r="208">
      <c r="A208" s="2">
        <v>45864.0</v>
      </c>
      <c r="B208" s="1">
        <v>18458.0</v>
      </c>
      <c r="C208" s="1">
        <v>346.0</v>
      </c>
      <c r="D208" s="3">
        <v>497.0</v>
      </c>
      <c r="E208" s="1">
        <v>8.0</v>
      </c>
      <c r="F208" s="3">
        <v>1164.0</v>
      </c>
      <c r="G208" s="1">
        <f t="shared" si="1"/>
        <v>7</v>
      </c>
    </row>
    <row r="209">
      <c r="A209" s="2">
        <v>45865.0</v>
      </c>
      <c r="B209" s="1">
        <v>50558.0</v>
      </c>
      <c r="C209" s="1">
        <v>1578.0</v>
      </c>
      <c r="D209" s="3">
        <v>2890.0</v>
      </c>
      <c r="E209" s="1">
        <v>21.0</v>
      </c>
      <c r="F209" s="3">
        <v>2788.0</v>
      </c>
      <c r="G209" s="1">
        <f t="shared" si="1"/>
        <v>7</v>
      </c>
    </row>
    <row r="210">
      <c r="A210" s="2">
        <v>45866.0</v>
      </c>
      <c r="B210" s="1">
        <v>82330.0</v>
      </c>
      <c r="C210" s="1">
        <v>1093.0</v>
      </c>
      <c r="D210" s="3">
        <v>2151.0</v>
      </c>
      <c r="E210" s="1">
        <v>20.0</v>
      </c>
      <c r="F210" s="3">
        <v>2313.0</v>
      </c>
      <c r="G210" s="1">
        <f t="shared" si="1"/>
        <v>7</v>
      </c>
    </row>
    <row r="211">
      <c r="A211" s="2">
        <v>45867.0</v>
      </c>
      <c r="B211" s="1">
        <v>39166.0</v>
      </c>
      <c r="C211" s="1">
        <v>994.0</v>
      </c>
      <c r="D211" s="3">
        <v>1238.0</v>
      </c>
      <c r="E211" s="1">
        <v>17.0</v>
      </c>
      <c r="F211" s="3">
        <v>2766.0</v>
      </c>
      <c r="G211" s="1">
        <f t="shared" si="1"/>
        <v>7</v>
      </c>
    </row>
    <row r="212">
      <c r="A212" s="2">
        <v>45868.0</v>
      </c>
      <c r="B212" s="1">
        <v>50849.0</v>
      </c>
      <c r="C212" s="1">
        <v>855.0</v>
      </c>
      <c r="D212" s="3">
        <v>889.0</v>
      </c>
      <c r="E212" s="1">
        <v>13.0</v>
      </c>
      <c r="F212" s="3">
        <v>2204.0</v>
      </c>
      <c r="G212" s="1">
        <f t="shared" si="1"/>
        <v>7</v>
      </c>
    </row>
    <row r="213">
      <c r="A213" s="2">
        <v>45869.0</v>
      </c>
      <c r="B213" s="1">
        <v>37335.0</v>
      </c>
      <c r="C213" s="1">
        <v>849.0</v>
      </c>
      <c r="D213" s="3">
        <v>1640.0</v>
      </c>
      <c r="E213" s="1">
        <v>18.0</v>
      </c>
      <c r="F213" s="3">
        <v>2975.0</v>
      </c>
      <c r="G213" s="1">
        <f t="shared" si="1"/>
        <v>7</v>
      </c>
    </row>
    <row r="214">
      <c r="A214" s="2">
        <v>45870.0</v>
      </c>
      <c r="B214" s="1">
        <v>51942.0</v>
      </c>
      <c r="C214" s="1">
        <v>860.0</v>
      </c>
      <c r="D214" s="3">
        <v>1163.0</v>
      </c>
      <c r="E214" s="1">
        <v>13.0</v>
      </c>
      <c r="F214" s="3">
        <v>2157.0</v>
      </c>
      <c r="G214" s="1">
        <f t="shared" si="1"/>
        <v>8</v>
      </c>
    </row>
    <row r="215">
      <c r="A215" s="2">
        <v>45871.0</v>
      </c>
      <c r="B215" s="1">
        <v>52511.0</v>
      </c>
      <c r="C215" s="1">
        <v>798.0</v>
      </c>
      <c r="D215" s="3">
        <v>941.0</v>
      </c>
      <c r="E215" s="1">
        <v>19.0</v>
      </c>
      <c r="F215" s="3">
        <v>2383.0</v>
      </c>
      <c r="G215" s="1">
        <f t="shared" si="1"/>
        <v>8</v>
      </c>
    </row>
    <row r="216">
      <c r="A216" s="2">
        <v>45872.0</v>
      </c>
      <c r="B216" s="1">
        <v>72199.0</v>
      </c>
      <c r="C216" s="1">
        <v>1967.0</v>
      </c>
      <c r="D216" s="3">
        <v>2870.0</v>
      </c>
      <c r="E216" s="1">
        <v>47.0</v>
      </c>
      <c r="F216" s="3">
        <v>6460.0</v>
      </c>
      <c r="G216" s="1">
        <f t="shared" si="1"/>
        <v>8</v>
      </c>
    </row>
    <row r="217">
      <c r="A217" s="2">
        <v>45873.0</v>
      </c>
      <c r="B217" s="1">
        <v>41541.0</v>
      </c>
      <c r="C217" s="1">
        <v>737.0</v>
      </c>
      <c r="D217" s="3">
        <v>1286.0</v>
      </c>
      <c r="E217" s="1">
        <v>13.0</v>
      </c>
      <c r="F217" s="3">
        <v>2077.0</v>
      </c>
      <c r="G217" s="1">
        <f t="shared" si="1"/>
        <v>8</v>
      </c>
    </row>
    <row r="218">
      <c r="A218" s="2">
        <v>45874.0</v>
      </c>
      <c r="B218" s="1">
        <v>37318.0</v>
      </c>
      <c r="C218" s="1">
        <v>868.0</v>
      </c>
      <c r="D218" s="3">
        <v>1358.0</v>
      </c>
      <c r="E218" s="1">
        <v>15.0</v>
      </c>
      <c r="F218" s="3">
        <v>1994.0</v>
      </c>
      <c r="G218" s="1">
        <f t="shared" si="1"/>
        <v>8</v>
      </c>
    </row>
    <row r="219">
      <c r="A219" s="2">
        <v>45875.0</v>
      </c>
      <c r="B219" s="1">
        <v>44137.0</v>
      </c>
      <c r="C219" s="1">
        <v>638.0</v>
      </c>
      <c r="D219" s="3">
        <v>686.0</v>
      </c>
      <c r="E219" s="1">
        <v>14.0</v>
      </c>
      <c r="F219" s="3">
        <v>1869.0</v>
      </c>
      <c r="G219" s="1">
        <f t="shared" si="1"/>
        <v>8</v>
      </c>
    </row>
    <row r="220">
      <c r="A220" s="2">
        <v>45876.0</v>
      </c>
      <c r="B220" s="1">
        <v>58673.0</v>
      </c>
      <c r="C220" s="1">
        <v>2040.0</v>
      </c>
      <c r="D220" s="3">
        <v>3395.0</v>
      </c>
      <c r="E220" s="1">
        <v>41.0</v>
      </c>
      <c r="F220" s="3">
        <v>7863.0</v>
      </c>
      <c r="G220" s="1">
        <f t="shared" si="1"/>
        <v>8</v>
      </c>
    </row>
    <row r="221">
      <c r="A221" s="2">
        <v>45877.0</v>
      </c>
      <c r="B221" s="1">
        <v>106960.0</v>
      </c>
      <c r="C221" s="1">
        <v>1659.0</v>
      </c>
      <c r="D221" s="3">
        <v>1903.0</v>
      </c>
      <c r="E221" s="1">
        <v>33.0</v>
      </c>
      <c r="F221" s="3">
        <v>4388.0</v>
      </c>
      <c r="G221" s="1">
        <f t="shared" si="1"/>
        <v>8</v>
      </c>
    </row>
    <row r="222">
      <c r="A222" s="2">
        <v>45878.0</v>
      </c>
      <c r="B222" s="1">
        <v>35706.0</v>
      </c>
      <c r="C222" s="1">
        <v>356.0</v>
      </c>
      <c r="D222" s="3">
        <v>463.0</v>
      </c>
      <c r="E222" s="1">
        <v>9.0</v>
      </c>
      <c r="F222" s="3">
        <v>1065.0</v>
      </c>
      <c r="G222" s="1">
        <f t="shared" si="1"/>
        <v>8</v>
      </c>
    </row>
    <row r="223">
      <c r="A223" s="2">
        <v>45879.0</v>
      </c>
      <c r="B223" s="1">
        <v>52249.0</v>
      </c>
      <c r="C223" s="1">
        <v>1286.0</v>
      </c>
      <c r="D223" s="3">
        <v>2414.0</v>
      </c>
      <c r="E223" s="1">
        <v>14.0</v>
      </c>
      <c r="F223" s="3">
        <v>2299.0</v>
      </c>
      <c r="G223" s="1">
        <f t="shared" si="1"/>
        <v>8</v>
      </c>
    </row>
    <row r="224">
      <c r="A224" s="2">
        <v>45880.0</v>
      </c>
      <c r="B224" s="1">
        <v>80576.0</v>
      </c>
      <c r="C224" s="1">
        <v>1153.0</v>
      </c>
      <c r="D224" s="3">
        <v>2068.0</v>
      </c>
      <c r="E224" s="1">
        <v>26.0</v>
      </c>
      <c r="F224" s="3">
        <v>2980.0</v>
      </c>
      <c r="G224" s="1">
        <f t="shared" si="1"/>
        <v>8</v>
      </c>
    </row>
    <row r="225">
      <c r="A225" s="2">
        <v>45881.0</v>
      </c>
      <c r="B225" s="1">
        <v>17630.0</v>
      </c>
      <c r="C225" s="1">
        <v>307.0</v>
      </c>
      <c r="D225" s="3">
        <v>589.0</v>
      </c>
      <c r="E225" s="1">
        <v>6.0</v>
      </c>
      <c r="F225" s="3">
        <v>1086.0</v>
      </c>
      <c r="G225" s="1">
        <f t="shared" si="1"/>
        <v>8</v>
      </c>
    </row>
    <row r="226">
      <c r="A226" s="2">
        <v>45882.0</v>
      </c>
      <c r="B226" s="1">
        <v>53805.0</v>
      </c>
      <c r="C226" s="1">
        <v>752.0</v>
      </c>
      <c r="D226" s="3">
        <v>1138.0</v>
      </c>
      <c r="E226" s="1">
        <v>9.0</v>
      </c>
      <c r="F226" s="3">
        <v>1033.0</v>
      </c>
      <c r="G226" s="1">
        <f t="shared" si="1"/>
        <v>8</v>
      </c>
    </row>
    <row r="227">
      <c r="A227" s="2">
        <v>45883.0</v>
      </c>
      <c r="B227" s="1">
        <v>87678.0</v>
      </c>
      <c r="C227" s="1">
        <v>1935.0</v>
      </c>
      <c r="D227" s="3">
        <v>2728.0</v>
      </c>
      <c r="E227" s="1">
        <v>36.0</v>
      </c>
      <c r="F227" s="3">
        <v>7318.0</v>
      </c>
      <c r="G227" s="1">
        <f t="shared" si="1"/>
        <v>8</v>
      </c>
    </row>
    <row r="228">
      <c r="A228" s="2">
        <v>45884.0</v>
      </c>
      <c r="B228" s="1">
        <v>67967.0</v>
      </c>
      <c r="C228" s="1">
        <v>2074.0</v>
      </c>
      <c r="D228" s="3">
        <v>3519.0</v>
      </c>
      <c r="E228" s="1">
        <v>28.0</v>
      </c>
      <c r="F228" s="3">
        <v>3599.0</v>
      </c>
      <c r="G228" s="1">
        <f t="shared" si="1"/>
        <v>8</v>
      </c>
    </row>
    <row r="229">
      <c r="A229" s="2">
        <v>45885.0</v>
      </c>
      <c r="B229" s="1">
        <v>28092.0</v>
      </c>
      <c r="C229" s="1">
        <v>709.0</v>
      </c>
      <c r="D229" s="3">
        <v>793.0</v>
      </c>
      <c r="E229" s="1">
        <v>10.0</v>
      </c>
      <c r="F229" s="3">
        <v>1473.0</v>
      </c>
      <c r="G229" s="1">
        <f t="shared" si="1"/>
        <v>8</v>
      </c>
    </row>
    <row r="230">
      <c r="A230" s="2">
        <v>45886.0</v>
      </c>
      <c r="B230" s="1">
        <v>95908.0</v>
      </c>
      <c r="C230" s="1">
        <v>1324.0</v>
      </c>
      <c r="D230" s="3">
        <v>2186.0</v>
      </c>
      <c r="E230" s="1">
        <v>23.0</v>
      </c>
      <c r="F230" s="3">
        <v>3772.0</v>
      </c>
      <c r="G230" s="1">
        <f t="shared" si="1"/>
        <v>8</v>
      </c>
    </row>
    <row r="231">
      <c r="A231" s="2">
        <v>45887.0</v>
      </c>
      <c r="B231" s="1">
        <v>78748.0</v>
      </c>
      <c r="C231" s="1">
        <v>1495.0</v>
      </c>
      <c r="D231" s="3">
        <v>2270.0</v>
      </c>
      <c r="E231" s="1">
        <v>35.0</v>
      </c>
      <c r="F231" s="3">
        <v>4900.0</v>
      </c>
      <c r="G231" s="1">
        <f t="shared" si="1"/>
        <v>8</v>
      </c>
    </row>
    <row r="232">
      <c r="A232" s="2">
        <v>45888.0</v>
      </c>
      <c r="B232" s="1">
        <v>11723.0</v>
      </c>
      <c r="C232" s="1">
        <v>250.0</v>
      </c>
      <c r="D232" s="3">
        <v>397.0</v>
      </c>
      <c r="E232" s="1">
        <v>5.0</v>
      </c>
      <c r="F232" s="3">
        <v>714.0</v>
      </c>
      <c r="G232" s="1">
        <f t="shared" si="1"/>
        <v>8</v>
      </c>
    </row>
    <row r="233">
      <c r="A233" s="2">
        <v>45889.0</v>
      </c>
      <c r="B233" s="1">
        <v>13511.0</v>
      </c>
      <c r="C233" s="1">
        <v>271.0</v>
      </c>
      <c r="D233" s="3">
        <v>494.0</v>
      </c>
      <c r="E233" s="1">
        <v>4.0</v>
      </c>
      <c r="F233" s="3">
        <v>657.0</v>
      </c>
      <c r="G233" s="1">
        <f t="shared" si="1"/>
        <v>8</v>
      </c>
    </row>
    <row r="234">
      <c r="A234" s="2">
        <v>45890.0</v>
      </c>
      <c r="B234" s="1">
        <v>11744.0</v>
      </c>
      <c r="C234" s="1">
        <v>193.0</v>
      </c>
      <c r="D234" s="3">
        <v>239.0</v>
      </c>
      <c r="E234" s="1">
        <v>3.0</v>
      </c>
      <c r="F234" s="3">
        <v>639.0</v>
      </c>
      <c r="G234" s="1">
        <f t="shared" si="1"/>
        <v>8</v>
      </c>
    </row>
    <row r="235">
      <c r="A235" s="2">
        <v>45891.0</v>
      </c>
      <c r="B235" s="1">
        <v>55379.0</v>
      </c>
      <c r="C235" s="1">
        <v>1286.0</v>
      </c>
      <c r="D235" s="3">
        <v>2507.0</v>
      </c>
      <c r="E235" s="1">
        <v>18.0</v>
      </c>
      <c r="F235" s="3">
        <v>3217.0</v>
      </c>
      <c r="G235" s="1">
        <f t="shared" si="1"/>
        <v>8</v>
      </c>
    </row>
    <row r="236">
      <c r="A236" s="2">
        <v>45892.0</v>
      </c>
      <c r="B236" s="1">
        <v>92269.0</v>
      </c>
      <c r="C236" s="1">
        <v>2105.0</v>
      </c>
      <c r="D236" s="3">
        <v>2697.0</v>
      </c>
      <c r="E236" s="1">
        <v>37.0</v>
      </c>
      <c r="F236" s="3">
        <v>5606.0</v>
      </c>
      <c r="G236" s="1">
        <f t="shared" si="1"/>
        <v>8</v>
      </c>
    </row>
    <row r="237">
      <c r="A237" s="2">
        <v>45893.0</v>
      </c>
      <c r="B237" s="1">
        <v>24200.0</v>
      </c>
      <c r="C237" s="1">
        <v>753.0</v>
      </c>
      <c r="D237" s="3">
        <v>894.0</v>
      </c>
      <c r="E237" s="1">
        <v>15.0</v>
      </c>
      <c r="F237" s="3">
        <v>2345.0</v>
      </c>
      <c r="G237" s="1">
        <f t="shared" si="1"/>
        <v>8</v>
      </c>
    </row>
    <row r="238">
      <c r="A238" s="2">
        <v>45894.0</v>
      </c>
      <c r="B238" s="1">
        <v>94898.0</v>
      </c>
      <c r="C238" s="1">
        <v>1339.0</v>
      </c>
      <c r="D238" s="3">
        <v>2621.0</v>
      </c>
      <c r="E238" s="1">
        <v>24.0</v>
      </c>
      <c r="F238" s="3">
        <v>4446.0</v>
      </c>
      <c r="G238" s="1">
        <f t="shared" si="1"/>
        <v>8</v>
      </c>
    </row>
    <row r="239">
      <c r="A239" s="2">
        <v>45895.0</v>
      </c>
      <c r="B239" s="1">
        <v>82128.0</v>
      </c>
      <c r="C239" s="1">
        <v>1265.0</v>
      </c>
      <c r="D239" s="3">
        <v>2304.0</v>
      </c>
      <c r="E239" s="1">
        <v>25.0</v>
      </c>
      <c r="F239" s="3">
        <v>3616.0</v>
      </c>
      <c r="G239" s="1">
        <f t="shared" si="1"/>
        <v>8</v>
      </c>
    </row>
    <row r="240">
      <c r="A240" s="2">
        <v>45896.0</v>
      </c>
      <c r="B240" s="1">
        <v>59574.0</v>
      </c>
      <c r="C240" s="1">
        <v>1379.0</v>
      </c>
      <c r="D240" s="3">
        <v>2683.0</v>
      </c>
      <c r="E240" s="1">
        <v>24.0</v>
      </c>
      <c r="F240" s="3">
        <v>3025.0</v>
      </c>
      <c r="G240" s="1">
        <f t="shared" si="1"/>
        <v>8</v>
      </c>
    </row>
    <row r="241">
      <c r="A241" s="2">
        <v>45897.0</v>
      </c>
      <c r="B241" s="1">
        <v>24834.0</v>
      </c>
      <c r="C241" s="1">
        <v>386.0</v>
      </c>
      <c r="D241" s="3">
        <v>659.0</v>
      </c>
      <c r="E241" s="1">
        <v>4.0</v>
      </c>
      <c r="F241" s="3">
        <v>686.0</v>
      </c>
      <c r="G241" s="1">
        <f t="shared" si="1"/>
        <v>8</v>
      </c>
    </row>
    <row r="242">
      <c r="A242" s="2">
        <v>45898.0</v>
      </c>
      <c r="B242" s="1">
        <v>52708.0</v>
      </c>
      <c r="C242" s="1">
        <v>619.0</v>
      </c>
      <c r="D242" s="3">
        <v>896.0</v>
      </c>
      <c r="E242" s="1">
        <v>14.0</v>
      </c>
      <c r="F242" s="3">
        <v>2313.0</v>
      </c>
      <c r="G242" s="1">
        <f t="shared" si="1"/>
        <v>8</v>
      </c>
    </row>
    <row r="243">
      <c r="A243" s="2">
        <v>45899.0</v>
      </c>
      <c r="B243" s="1">
        <v>15425.0</v>
      </c>
      <c r="C243" s="1">
        <v>292.0</v>
      </c>
      <c r="D243" s="3">
        <v>620.0</v>
      </c>
      <c r="E243" s="1">
        <v>5.0</v>
      </c>
      <c r="F243" s="3">
        <v>603.0</v>
      </c>
      <c r="G243" s="1">
        <f t="shared" si="1"/>
        <v>8</v>
      </c>
    </row>
    <row r="244">
      <c r="A244" s="2">
        <v>45900.0</v>
      </c>
      <c r="B244" s="1">
        <v>71281.0</v>
      </c>
      <c r="C244" s="1">
        <v>1339.0</v>
      </c>
      <c r="D244" s="3">
        <v>1331.0</v>
      </c>
      <c r="E244" s="1">
        <v>21.0</v>
      </c>
      <c r="F244" s="3">
        <v>2821.0</v>
      </c>
      <c r="G244" s="1">
        <f t="shared" si="1"/>
        <v>8</v>
      </c>
    </row>
    <row r="245">
      <c r="A245" s="2">
        <v>45901.0</v>
      </c>
      <c r="B245" s="1">
        <v>86224.0</v>
      </c>
      <c r="C245" s="1">
        <v>1270.0</v>
      </c>
      <c r="D245" s="3">
        <v>2626.0</v>
      </c>
      <c r="E245" s="1">
        <v>28.0</v>
      </c>
      <c r="F245" s="3">
        <v>3297.0</v>
      </c>
      <c r="G245" s="1">
        <f t="shared" si="1"/>
        <v>9</v>
      </c>
    </row>
    <row r="246">
      <c r="A246" s="2">
        <v>45902.0</v>
      </c>
      <c r="B246" s="1">
        <v>54980.0</v>
      </c>
      <c r="C246" s="1">
        <v>1536.0</v>
      </c>
      <c r="D246" s="3">
        <v>1412.0</v>
      </c>
      <c r="E246" s="1">
        <v>25.0</v>
      </c>
      <c r="F246" s="3">
        <v>2705.0</v>
      </c>
      <c r="G246" s="1">
        <f t="shared" si="1"/>
        <v>9</v>
      </c>
    </row>
    <row r="247">
      <c r="A247" s="2">
        <v>45903.0</v>
      </c>
      <c r="B247" s="1">
        <v>20759.0</v>
      </c>
      <c r="C247" s="1">
        <v>579.0</v>
      </c>
      <c r="D247" s="3">
        <v>656.0</v>
      </c>
      <c r="E247" s="1">
        <v>6.0</v>
      </c>
      <c r="F247" s="3">
        <v>1270.0</v>
      </c>
      <c r="G247" s="1">
        <f t="shared" si="1"/>
        <v>9</v>
      </c>
    </row>
    <row r="248">
      <c r="A248" s="2">
        <v>45904.0</v>
      </c>
      <c r="B248" s="1">
        <v>88745.0</v>
      </c>
      <c r="C248" s="1">
        <v>2322.0</v>
      </c>
      <c r="D248" s="3">
        <v>3188.0</v>
      </c>
      <c r="E248" s="1">
        <v>55.0</v>
      </c>
      <c r="F248" s="3">
        <v>8498.0</v>
      </c>
      <c r="G248" s="1">
        <f t="shared" si="1"/>
        <v>9</v>
      </c>
    </row>
    <row r="249">
      <c r="A249" s="2">
        <v>45905.0</v>
      </c>
      <c r="B249" s="1">
        <v>90562.0</v>
      </c>
      <c r="C249" s="1">
        <v>1791.0</v>
      </c>
      <c r="D249" s="3">
        <v>3166.0</v>
      </c>
      <c r="E249" s="1">
        <v>32.0</v>
      </c>
      <c r="F249" s="3">
        <v>6246.0</v>
      </c>
      <c r="G249" s="1">
        <f t="shared" si="1"/>
        <v>9</v>
      </c>
    </row>
    <row r="250">
      <c r="A250" s="2">
        <v>45906.0</v>
      </c>
      <c r="B250" s="1">
        <v>31457.0</v>
      </c>
      <c r="C250" s="1">
        <v>770.0</v>
      </c>
      <c r="D250" s="3">
        <v>1563.0</v>
      </c>
      <c r="E250" s="1">
        <v>11.0</v>
      </c>
      <c r="F250" s="3">
        <v>2011.0</v>
      </c>
      <c r="G250" s="1">
        <f t="shared" si="1"/>
        <v>9</v>
      </c>
    </row>
    <row r="251">
      <c r="A251" s="2">
        <v>45907.0</v>
      </c>
      <c r="B251" s="1">
        <v>16887.0</v>
      </c>
      <c r="C251" s="1">
        <v>198.0</v>
      </c>
      <c r="D251" s="3">
        <v>365.0</v>
      </c>
      <c r="E251" s="1">
        <v>2.0</v>
      </c>
      <c r="F251" s="3">
        <v>358.0</v>
      </c>
      <c r="G251" s="1">
        <f t="shared" si="1"/>
        <v>9</v>
      </c>
    </row>
    <row r="252">
      <c r="A252" s="2">
        <v>45908.0</v>
      </c>
      <c r="B252" s="1">
        <v>52594.0</v>
      </c>
      <c r="C252" s="1">
        <v>599.0</v>
      </c>
      <c r="D252" s="3">
        <v>1092.0</v>
      </c>
      <c r="E252" s="1">
        <v>15.0</v>
      </c>
      <c r="F252" s="3">
        <v>2225.0</v>
      </c>
      <c r="G252" s="1">
        <f t="shared" si="1"/>
        <v>9</v>
      </c>
    </row>
    <row r="253">
      <c r="A253" s="2">
        <v>45909.0</v>
      </c>
      <c r="B253" s="1">
        <v>16880.0</v>
      </c>
      <c r="C253" s="1">
        <v>376.0</v>
      </c>
      <c r="D253" s="3">
        <v>477.0</v>
      </c>
      <c r="E253" s="1">
        <v>5.0</v>
      </c>
      <c r="F253" s="3">
        <v>904.0</v>
      </c>
      <c r="G253" s="1">
        <f t="shared" si="1"/>
        <v>9</v>
      </c>
    </row>
    <row r="254">
      <c r="A254" s="2">
        <v>45910.0</v>
      </c>
      <c r="B254" s="1">
        <v>66692.0</v>
      </c>
      <c r="C254" s="1">
        <v>1275.0</v>
      </c>
      <c r="D254" s="3">
        <v>2180.0</v>
      </c>
      <c r="E254" s="1">
        <v>21.0</v>
      </c>
      <c r="F254" s="3">
        <v>3156.0</v>
      </c>
      <c r="G254" s="1">
        <f t="shared" si="1"/>
        <v>9</v>
      </c>
    </row>
    <row r="255">
      <c r="A255" s="2">
        <v>45911.0</v>
      </c>
      <c r="B255" s="1">
        <v>61970.0</v>
      </c>
      <c r="C255" s="1">
        <v>640.0</v>
      </c>
      <c r="D255" s="3">
        <v>1111.0</v>
      </c>
      <c r="E255" s="1">
        <v>14.0</v>
      </c>
      <c r="F255" s="3">
        <v>2808.0</v>
      </c>
      <c r="G255" s="1">
        <f t="shared" si="1"/>
        <v>9</v>
      </c>
    </row>
    <row r="256">
      <c r="A256" s="2">
        <v>45912.0</v>
      </c>
      <c r="B256" s="1">
        <v>48632.0</v>
      </c>
      <c r="C256" s="1">
        <v>701.0</v>
      </c>
      <c r="D256" s="3">
        <v>1059.0</v>
      </c>
      <c r="E256" s="1">
        <v>13.0</v>
      </c>
      <c r="F256" s="3">
        <v>2447.0</v>
      </c>
      <c r="G256" s="1">
        <f t="shared" si="1"/>
        <v>9</v>
      </c>
    </row>
    <row r="257">
      <c r="A257" s="2">
        <v>45913.0</v>
      </c>
      <c r="B257" s="1">
        <v>91672.0</v>
      </c>
      <c r="C257" s="1">
        <v>1379.0</v>
      </c>
      <c r="D257" s="3">
        <v>1561.0</v>
      </c>
      <c r="E257" s="1">
        <v>35.0</v>
      </c>
      <c r="F257" s="3">
        <v>5446.0</v>
      </c>
      <c r="G257" s="1">
        <f t="shared" si="1"/>
        <v>9</v>
      </c>
    </row>
    <row r="258">
      <c r="A258" s="2">
        <v>45914.0</v>
      </c>
      <c r="B258" s="1">
        <v>81449.0</v>
      </c>
      <c r="C258" s="1">
        <v>1527.0</v>
      </c>
      <c r="D258" s="3">
        <v>2167.0</v>
      </c>
      <c r="E258" s="1">
        <v>41.0</v>
      </c>
      <c r="F258" s="3">
        <v>6863.0</v>
      </c>
      <c r="G258" s="1">
        <f t="shared" si="1"/>
        <v>9</v>
      </c>
    </row>
    <row r="259">
      <c r="A259" s="2">
        <v>45915.0</v>
      </c>
      <c r="B259" s="1">
        <v>51464.0</v>
      </c>
      <c r="C259" s="1">
        <v>592.0</v>
      </c>
      <c r="D259" s="3">
        <v>887.0</v>
      </c>
      <c r="E259" s="1">
        <v>9.0</v>
      </c>
      <c r="F259" s="3">
        <v>1242.0</v>
      </c>
      <c r="G259" s="1">
        <f t="shared" si="1"/>
        <v>9</v>
      </c>
    </row>
    <row r="260">
      <c r="A260" s="2">
        <v>45916.0</v>
      </c>
      <c r="B260" s="1">
        <v>52154.0</v>
      </c>
      <c r="C260" s="1">
        <v>1496.0</v>
      </c>
      <c r="D260" s="3">
        <v>2324.0</v>
      </c>
      <c r="E260" s="1">
        <v>20.0</v>
      </c>
      <c r="F260" s="3">
        <v>3593.0</v>
      </c>
      <c r="G260" s="1">
        <f t="shared" si="1"/>
        <v>9</v>
      </c>
    </row>
    <row r="261">
      <c r="A261" s="2">
        <v>45917.0</v>
      </c>
      <c r="B261" s="1">
        <v>31475.0</v>
      </c>
      <c r="C261" s="1">
        <v>531.0</v>
      </c>
      <c r="D261" s="3">
        <v>1020.0</v>
      </c>
      <c r="E261" s="1">
        <v>11.0</v>
      </c>
      <c r="F261" s="3">
        <v>1433.0</v>
      </c>
      <c r="G261" s="1">
        <f t="shared" si="1"/>
        <v>9</v>
      </c>
    </row>
    <row r="262">
      <c r="A262" s="2">
        <v>45918.0</v>
      </c>
      <c r="B262" s="1">
        <v>12277.0</v>
      </c>
      <c r="C262" s="1">
        <v>177.0</v>
      </c>
      <c r="D262" s="3">
        <v>294.0</v>
      </c>
      <c r="E262" s="1">
        <v>3.0</v>
      </c>
      <c r="F262" s="3">
        <v>609.0</v>
      </c>
      <c r="G262" s="1">
        <f t="shared" si="1"/>
        <v>9</v>
      </c>
    </row>
    <row r="263">
      <c r="A263" s="2">
        <v>45919.0</v>
      </c>
      <c r="B263" s="1">
        <v>13766.0</v>
      </c>
      <c r="C263" s="1">
        <v>142.0</v>
      </c>
      <c r="D263" s="3">
        <v>265.0</v>
      </c>
      <c r="E263" s="1">
        <v>2.0</v>
      </c>
      <c r="F263" s="3">
        <v>265.0</v>
      </c>
      <c r="G263" s="1">
        <f t="shared" si="1"/>
        <v>9</v>
      </c>
    </row>
    <row r="264">
      <c r="A264" s="2">
        <v>45920.0</v>
      </c>
      <c r="B264" s="1">
        <v>10679.0</v>
      </c>
      <c r="C264" s="1">
        <v>156.0</v>
      </c>
      <c r="D264" s="3">
        <v>316.0</v>
      </c>
      <c r="E264" s="1">
        <v>3.0</v>
      </c>
      <c r="F264" s="3">
        <v>414.0</v>
      </c>
      <c r="G264" s="1">
        <f t="shared" si="1"/>
        <v>9</v>
      </c>
    </row>
    <row r="265">
      <c r="A265" s="2">
        <v>45921.0</v>
      </c>
      <c r="B265" s="1">
        <v>83585.0</v>
      </c>
      <c r="C265" s="1">
        <v>1442.0</v>
      </c>
      <c r="D265" s="3">
        <v>1709.0</v>
      </c>
      <c r="E265" s="1">
        <v>24.0</v>
      </c>
      <c r="F265" s="3">
        <v>4584.0</v>
      </c>
      <c r="G265" s="1">
        <f t="shared" si="1"/>
        <v>9</v>
      </c>
    </row>
    <row r="266">
      <c r="A266" s="2">
        <v>45922.0</v>
      </c>
      <c r="B266" s="1">
        <v>85216.0</v>
      </c>
      <c r="C266" s="1">
        <v>1613.0</v>
      </c>
      <c r="D266" s="3">
        <v>3053.0</v>
      </c>
      <c r="E266" s="1">
        <v>31.0</v>
      </c>
      <c r="F266" s="3">
        <v>6251.0</v>
      </c>
      <c r="G266" s="1">
        <f t="shared" si="1"/>
        <v>9</v>
      </c>
    </row>
    <row r="267">
      <c r="A267" s="2">
        <v>45923.0</v>
      </c>
      <c r="B267" s="1">
        <v>24444.0</v>
      </c>
      <c r="C267" s="1">
        <v>721.0</v>
      </c>
      <c r="D267" s="3">
        <v>1037.0</v>
      </c>
      <c r="E267" s="1">
        <v>10.0</v>
      </c>
      <c r="F267" s="3">
        <v>2179.0</v>
      </c>
      <c r="G267" s="1">
        <f t="shared" si="1"/>
        <v>9</v>
      </c>
    </row>
    <row r="268">
      <c r="A268" s="2">
        <v>45924.0</v>
      </c>
      <c r="B268" s="1">
        <v>51143.0</v>
      </c>
      <c r="C268" s="1">
        <v>1721.0</v>
      </c>
      <c r="D268" s="3">
        <v>1863.0</v>
      </c>
      <c r="E268" s="1">
        <v>37.0</v>
      </c>
      <c r="F268" s="3">
        <v>4001.0</v>
      </c>
      <c r="G268" s="1">
        <f t="shared" si="1"/>
        <v>9</v>
      </c>
    </row>
    <row r="269">
      <c r="A269" s="2">
        <v>45925.0</v>
      </c>
      <c r="B269" s="1">
        <v>66440.0</v>
      </c>
      <c r="C269" s="1">
        <v>868.0</v>
      </c>
      <c r="D269" s="3">
        <v>1705.0</v>
      </c>
      <c r="E269" s="1">
        <v>13.0</v>
      </c>
      <c r="F269" s="3">
        <v>1586.0</v>
      </c>
      <c r="G269" s="1">
        <f t="shared" si="1"/>
        <v>9</v>
      </c>
    </row>
    <row r="270">
      <c r="A270" s="2">
        <v>45926.0</v>
      </c>
      <c r="B270" s="1">
        <v>65236.0</v>
      </c>
      <c r="C270" s="1">
        <v>1605.0</v>
      </c>
      <c r="D270" s="3">
        <v>2595.0</v>
      </c>
      <c r="E270" s="1">
        <v>37.0</v>
      </c>
      <c r="F270" s="3">
        <v>6155.0</v>
      </c>
      <c r="G270" s="1">
        <f t="shared" si="1"/>
        <v>9</v>
      </c>
    </row>
    <row r="271">
      <c r="A271" s="2">
        <v>45927.0</v>
      </c>
      <c r="B271" s="1">
        <v>43894.0</v>
      </c>
      <c r="C271" s="1">
        <v>628.0</v>
      </c>
      <c r="D271" s="3">
        <v>944.0</v>
      </c>
      <c r="E271" s="1">
        <v>13.0</v>
      </c>
      <c r="F271" s="3">
        <v>2549.0</v>
      </c>
      <c r="G271" s="1">
        <f t="shared" si="1"/>
        <v>9</v>
      </c>
    </row>
    <row r="272">
      <c r="A272" s="2">
        <v>45928.0</v>
      </c>
      <c r="B272" s="1">
        <v>14553.0</v>
      </c>
      <c r="C272" s="1">
        <v>228.0</v>
      </c>
      <c r="D272" s="3">
        <v>272.0</v>
      </c>
      <c r="E272" s="1">
        <v>5.0</v>
      </c>
      <c r="F272" s="3">
        <v>593.0</v>
      </c>
      <c r="G272" s="1">
        <f t="shared" si="1"/>
        <v>9</v>
      </c>
    </row>
    <row r="273">
      <c r="A273" s="2">
        <v>45929.0</v>
      </c>
      <c r="B273" s="1">
        <v>28284.0</v>
      </c>
      <c r="C273" s="1">
        <v>742.0</v>
      </c>
      <c r="D273" s="3">
        <v>999.0</v>
      </c>
      <c r="E273" s="1">
        <v>11.0</v>
      </c>
      <c r="F273" s="3">
        <v>1367.0</v>
      </c>
      <c r="G273" s="1">
        <f t="shared" si="1"/>
        <v>9</v>
      </c>
    </row>
    <row r="274">
      <c r="A274" s="2">
        <v>45930.0</v>
      </c>
      <c r="B274" s="1">
        <v>42083.0</v>
      </c>
      <c r="C274" s="1">
        <v>1040.0</v>
      </c>
      <c r="D274" s="3">
        <v>1615.0</v>
      </c>
      <c r="E274" s="1">
        <v>19.0</v>
      </c>
      <c r="F274" s="3">
        <v>2141.0</v>
      </c>
      <c r="G274" s="1">
        <f t="shared" si="1"/>
        <v>9</v>
      </c>
    </row>
    <row r="275">
      <c r="A275" s="2">
        <v>45931.0</v>
      </c>
      <c r="B275" s="1">
        <v>61042.0</v>
      </c>
      <c r="C275" s="1">
        <v>1671.0</v>
      </c>
      <c r="D275" s="3">
        <v>2682.0</v>
      </c>
      <c r="E275" s="1">
        <v>30.0</v>
      </c>
      <c r="F275" s="3">
        <v>6131.0</v>
      </c>
      <c r="G275" s="1">
        <f t="shared" si="1"/>
        <v>10</v>
      </c>
    </row>
    <row r="276">
      <c r="A276" s="2">
        <v>45932.0</v>
      </c>
      <c r="B276" s="1">
        <v>76058.0</v>
      </c>
      <c r="C276" s="1">
        <v>2361.0</v>
      </c>
      <c r="D276" s="3">
        <v>3366.0</v>
      </c>
      <c r="E276" s="1">
        <v>49.0</v>
      </c>
      <c r="F276" s="3">
        <v>4917.0</v>
      </c>
      <c r="G276" s="1">
        <f t="shared" si="1"/>
        <v>10</v>
      </c>
    </row>
    <row r="277">
      <c r="A277" s="2">
        <v>45933.0</v>
      </c>
      <c r="B277" s="1">
        <v>92404.0</v>
      </c>
      <c r="C277" s="1">
        <v>1801.0</v>
      </c>
      <c r="D277" s="3">
        <v>1867.0</v>
      </c>
      <c r="E277" s="1">
        <v>40.0</v>
      </c>
      <c r="F277" s="3">
        <v>7367.0</v>
      </c>
      <c r="G277" s="1">
        <f t="shared" si="1"/>
        <v>10</v>
      </c>
    </row>
    <row r="278">
      <c r="A278" s="2">
        <v>45934.0</v>
      </c>
      <c r="B278" s="1">
        <v>87773.0</v>
      </c>
      <c r="C278" s="1">
        <v>1456.0</v>
      </c>
      <c r="D278" s="3">
        <v>2180.0</v>
      </c>
      <c r="E278" s="1">
        <v>37.0</v>
      </c>
      <c r="F278" s="3">
        <v>7204.0</v>
      </c>
      <c r="G278" s="1">
        <f t="shared" si="1"/>
        <v>10</v>
      </c>
    </row>
    <row r="279">
      <c r="A279" s="2">
        <v>45935.0</v>
      </c>
      <c r="B279" s="1">
        <v>45616.0</v>
      </c>
      <c r="C279" s="1">
        <v>836.0</v>
      </c>
      <c r="D279" s="3">
        <v>1254.0</v>
      </c>
      <c r="E279" s="1">
        <v>15.0</v>
      </c>
      <c r="F279" s="3">
        <v>2193.0</v>
      </c>
      <c r="G279" s="1">
        <f t="shared" si="1"/>
        <v>10</v>
      </c>
    </row>
    <row r="280">
      <c r="A280" s="2">
        <v>45936.0</v>
      </c>
      <c r="B280" s="1">
        <v>51574.0</v>
      </c>
      <c r="C280" s="1">
        <v>1324.0</v>
      </c>
      <c r="D280" s="3">
        <v>2347.0</v>
      </c>
      <c r="E280" s="1">
        <v>22.0</v>
      </c>
      <c r="F280" s="3">
        <v>3951.0</v>
      </c>
      <c r="G280" s="1">
        <f t="shared" si="1"/>
        <v>10</v>
      </c>
    </row>
    <row r="281">
      <c r="A281" s="2">
        <v>45937.0</v>
      </c>
      <c r="B281" s="1">
        <v>19918.0</v>
      </c>
      <c r="C281" s="1">
        <v>404.0</v>
      </c>
      <c r="D281" s="3">
        <v>488.0</v>
      </c>
      <c r="E281" s="1">
        <v>5.0</v>
      </c>
      <c r="F281" s="3">
        <v>1029.0</v>
      </c>
      <c r="G281" s="1">
        <f t="shared" si="1"/>
        <v>10</v>
      </c>
    </row>
    <row r="282">
      <c r="A282" s="2">
        <v>45938.0</v>
      </c>
      <c r="B282" s="1">
        <v>91666.0</v>
      </c>
      <c r="C282" s="1">
        <v>1823.0</v>
      </c>
      <c r="D282" s="3">
        <v>3325.0</v>
      </c>
      <c r="E282" s="1">
        <v>39.0</v>
      </c>
      <c r="F282" s="3">
        <v>5127.0</v>
      </c>
      <c r="G282" s="1">
        <f t="shared" si="1"/>
        <v>10</v>
      </c>
    </row>
    <row r="283">
      <c r="A283" s="2">
        <v>45939.0</v>
      </c>
      <c r="B283" s="1">
        <v>61157.0</v>
      </c>
      <c r="C283" s="1">
        <v>1132.0</v>
      </c>
      <c r="D283" s="3">
        <v>1413.0</v>
      </c>
      <c r="E283" s="1">
        <v>15.0</v>
      </c>
      <c r="F283" s="3">
        <v>2585.0</v>
      </c>
      <c r="G283" s="1">
        <f t="shared" si="1"/>
        <v>10</v>
      </c>
    </row>
    <row r="284">
      <c r="A284" s="2">
        <v>45940.0</v>
      </c>
      <c r="B284" s="1">
        <v>82264.0</v>
      </c>
      <c r="C284" s="1">
        <v>1448.0</v>
      </c>
      <c r="D284" s="3">
        <v>1768.0</v>
      </c>
      <c r="E284" s="1">
        <v>39.0</v>
      </c>
      <c r="F284" s="3">
        <v>4921.0</v>
      </c>
      <c r="G284" s="1">
        <f t="shared" si="1"/>
        <v>10</v>
      </c>
    </row>
    <row r="285">
      <c r="A285" s="2">
        <v>45941.0</v>
      </c>
      <c r="B285" s="1">
        <v>65303.0</v>
      </c>
      <c r="C285" s="1">
        <v>1046.0</v>
      </c>
      <c r="D285" s="3">
        <v>1510.0</v>
      </c>
      <c r="E285" s="1">
        <v>19.0</v>
      </c>
      <c r="F285" s="3">
        <v>2470.0</v>
      </c>
      <c r="G285" s="1">
        <f t="shared" si="1"/>
        <v>10</v>
      </c>
    </row>
    <row r="286">
      <c r="A286" s="2">
        <v>45942.0</v>
      </c>
      <c r="B286" s="1">
        <v>18331.0</v>
      </c>
      <c r="C286" s="1">
        <v>248.0</v>
      </c>
      <c r="D286" s="3">
        <v>257.0</v>
      </c>
      <c r="E286" s="1">
        <v>3.0</v>
      </c>
      <c r="F286" s="3">
        <v>508.0</v>
      </c>
      <c r="G286" s="1">
        <f t="shared" si="1"/>
        <v>10</v>
      </c>
    </row>
    <row r="287">
      <c r="A287" s="2">
        <v>45943.0</v>
      </c>
      <c r="B287" s="1">
        <v>91113.0</v>
      </c>
      <c r="C287" s="1">
        <v>2710.0</v>
      </c>
      <c r="D287" s="3">
        <v>2479.0</v>
      </c>
      <c r="E287" s="1">
        <v>54.0</v>
      </c>
      <c r="F287" s="3">
        <v>5903.0</v>
      </c>
      <c r="G287" s="1">
        <f t="shared" si="1"/>
        <v>10</v>
      </c>
    </row>
    <row r="288">
      <c r="A288" s="2">
        <v>45944.0</v>
      </c>
      <c r="B288" s="1">
        <v>35818.0</v>
      </c>
      <c r="C288" s="1">
        <v>917.0</v>
      </c>
      <c r="D288" s="3">
        <v>1451.0</v>
      </c>
      <c r="E288" s="1">
        <v>15.0</v>
      </c>
      <c r="F288" s="3">
        <v>2396.0</v>
      </c>
      <c r="G288" s="1">
        <f t="shared" si="1"/>
        <v>10</v>
      </c>
    </row>
    <row r="289">
      <c r="A289" s="2">
        <v>45945.0</v>
      </c>
      <c r="B289" s="1">
        <v>53530.0</v>
      </c>
      <c r="C289" s="1">
        <v>1103.0</v>
      </c>
      <c r="D289" s="3">
        <v>1625.0</v>
      </c>
      <c r="E289" s="1">
        <v>22.0</v>
      </c>
      <c r="F289" s="3">
        <v>3729.0</v>
      </c>
      <c r="G289" s="1">
        <f t="shared" si="1"/>
        <v>10</v>
      </c>
    </row>
    <row r="290">
      <c r="A290" s="2">
        <v>45946.0</v>
      </c>
      <c r="B290" s="1">
        <v>55679.0</v>
      </c>
      <c r="C290" s="1">
        <v>852.0</v>
      </c>
      <c r="D290" s="3">
        <v>889.0</v>
      </c>
      <c r="E290" s="1">
        <v>16.0</v>
      </c>
      <c r="F290" s="3">
        <v>2659.0</v>
      </c>
      <c r="G290" s="1">
        <f t="shared" si="1"/>
        <v>10</v>
      </c>
    </row>
    <row r="291">
      <c r="A291" s="2">
        <v>45947.0</v>
      </c>
      <c r="B291" s="1">
        <v>46054.0</v>
      </c>
      <c r="C291" s="1">
        <v>714.0</v>
      </c>
      <c r="D291" s="3">
        <v>1386.0</v>
      </c>
      <c r="E291" s="1">
        <v>10.0</v>
      </c>
      <c r="F291" s="3">
        <v>1195.0</v>
      </c>
      <c r="G291" s="1">
        <f t="shared" si="1"/>
        <v>10</v>
      </c>
    </row>
    <row r="292">
      <c r="A292" s="2">
        <v>45948.0</v>
      </c>
      <c r="B292" s="1">
        <v>24167.0</v>
      </c>
      <c r="C292" s="1">
        <v>303.0</v>
      </c>
      <c r="D292" s="3">
        <v>481.0</v>
      </c>
      <c r="E292" s="1">
        <v>8.0</v>
      </c>
      <c r="F292" s="3">
        <v>1047.0</v>
      </c>
      <c r="G292" s="1">
        <f t="shared" si="1"/>
        <v>10</v>
      </c>
    </row>
    <row r="293">
      <c r="A293" s="2">
        <v>45949.0</v>
      </c>
      <c r="B293" s="1">
        <v>15830.0</v>
      </c>
      <c r="C293" s="1">
        <v>245.0</v>
      </c>
      <c r="D293" s="3">
        <v>366.0</v>
      </c>
      <c r="E293" s="1">
        <v>3.0</v>
      </c>
      <c r="F293" s="3">
        <v>553.0</v>
      </c>
      <c r="G293" s="1">
        <f t="shared" si="1"/>
        <v>10</v>
      </c>
    </row>
    <row r="294">
      <c r="A294" s="2">
        <v>45950.0</v>
      </c>
      <c r="B294" s="1">
        <v>77941.0</v>
      </c>
      <c r="C294" s="1">
        <v>1962.0</v>
      </c>
      <c r="D294" s="3">
        <v>1857.0</v>
      </c>
      <c r="E294" s="1">
        <v>37.0</v>
      </c>
      <c r="F294" s="3">
        <v>4952.0</v>
      </c>
      <c r="G294" s="1">
        <f t="shared" si="1"/>
        <v>10</v>
      </c>
    </row>
    <row r="295">
      <c r="A295" s="2">
        <v>45951.0</v>
      </c>
      <c r="B295" s="1">
        <v>86583.0</v>
      </c>
      <c r="C295" s="1">
        <v>2081.0</v>
      </c>
      <c r="D295" s="3">
        <v>2878.0</v>
      </c>
      <c r="E295" s="1">
        <v>36.0</v>
      </c>
      <c r="F295" s="3">
        <v>3790.0</v>
      </c>
      <c r="G295" s="1">
        <f t="shared" si="1"/>
        <v>10</v>
      </c>
    </row>
    <row r="296">
      <c r="A296" s="2">
        <v>45952.0</v>
      </c>
      <c r="B296" s="1">
        <v>63208.0</v>
      </c>
      <c r="C296" s="1">
        <v>968.0</v>
      </c>
      <c r="D296" s="3">
        <v>1339.0</v>
      </c>
      <c r="E296" s="1">
        <v>13.0</v>
      </c>
      <c r="F296" s="3">
        <v>1620.0</v>
      </c>
      <c r="G296" s="1">
        <f t="shared" si="1"/>
        <v>10</v>
      </c>
    </row>
    <row r="297">
      <c r="A297" s="2">
        <v>45953.0</v>
      </c>
      <c r="B297" s="1">
        <v>53761.0</v>
      </c>
      <c r="C297" s="1">
        <v>922.0</v>
      </c>
      <c r="D297" s="3">
        <v>911.0</v>
      </c>
      <c r="E297" s="1">
        <v>18.0</v>
      </c>
      <c r="F297" s="3">
        <v>3360.0</v>
      </c>
      <c r="G297" s="1">
        <f t="shared" si="1"/>
        <v>10</v>
      </c>
    </row>
    <row r="298">
      <c r="A298" s="2">
        <v>45954.0</v>
      </c>
      <c r="B298" s="1">
        <v>19823.0</v>
      </c>
      <c r="C298" s="1">
        <v>527.0</v>
      </c>
      <c r="D298" s="3">
        <v>638.0</v>
      </c>
      <c r="E298" s="1">
        <v>12.0</v>
      </c>
      <c r="F298" s="3">
        <v>1417.0</v>
      </c>
      <c r="G298" s="1">
        <f t="shared" si="1"/>
        <v>10</v>
      </c>
    </row>
    <row r="299">
      <c r="A299" s="2">
        <v>45955.0</v>
      </c>
      <c r="B299" s="1">
        <v>73157.0</v>
      </c>
      <c r="C299" s="1">
        <v>1205.0</v>
      </c>
      <c r="D299" s="3">
        <v>1749.0</v>
      </c>
      <c r="E299" s="1">
        <v>27.0</v>
      </c>
      <c r="F299" s="3">
        <v>3220.0</v>
      </c>
      <c r="G299" s="1">
        <f t="shared" si="1"/>
        <v>10</v>
      </c>
    </row>
    <row r="300">
      <c r="A300" s="2">
        <v>45956.0</v>
      </c>
      <c r="B300" s="1">
        <v>17151.0</v>
      </c>
      <c r="C300" s="1">
        <v>423.0</v>
      </c>
      <c r="D300" s="3">
        <v>500.0</v>
      </c>
      <c r="E300" s="1">
        <v>8.0</v>
      </c>
      <c r="F300" s="3">
        <v>1372.0</v>
      </c>
      <c r="G300" s="1">
        <f t="shared" si="1"/>
        <v>10</v>
      </c>
    </row>
    <row r="301">
      <c r="A301" s="2">
        <v>45957.0</v>
      </c>
      <c r="B301" s="1">
        <v>47443.0</v>
      </c>
      <c r="C301" s="1">
        <v>900.0</v>
      </c>
      <c r="D301" s="3">
        <v>972.0</v>
      </c>
      <c r="E301" s="1">
        <v>15.0</v>
      </c>
      <c r="F301" s="3">
        <v>2745.0</v>
      </c>
      <c r="G301" s="1">
        <f t="shared" si="1"/>
        <v>10</v>
      </c>
    </row>
    <row r="302">
      <c r="A302" s="2">
        <v>45958.0</v>
      </c>
      <c r="B302" s="1">
        <v>56847.0</v>
      </c>
      <c r="C302" s="1">
        <v>973.0</v>
      </c>
      <c r="D302" s="3">
        <v>1284.0</v>
      </c>
      <c r="E302" s="1">
        <v>23.0</v>
      </c>
      <c r="F302" s="3">
        <v>2908.0</v>
      </c>
      <c r="G302" s="1">
        <f t="shared" si="1"/>
        <v>10</v>
      </c>
    </row>
    <row r="303">
      <c r="A303" s="2">
        <v>45959.0</v>
      </c>
      <c r="B303" s="1">
        <v>103800.0</v>
      </c>
      <c r="C303" s="1">
        <v>1907.0</v>
      </c>
      <c r="D303" s="3">
        <v>3233.0</v>
      </c>
      <c r="E303" s="1">
        <v>33.0</v>
      </c>
      <c r="F303" s="3">
        <v>4563.0</v>
      </c>
      <c r="G303" s="1">
        <f t="shared" si="1"/>
        <v>10</v>
      </c>
    </row>
    <row r="304">
      <c r="A304" s="2">
        <v>45960.0</v>
      </c>
      <c r="B304" s="1">
        <v>61699.0</v>
      </c>
      <c r="C304" s="1">
        <v>1127.0</v>
      </c>
      <c r="D304" s="3">
        <v>1422.0</v>
      </c>
      <c r="E304" s="1">
        <v>21.0</v>
      </c>
      <c r="F304" s="3">
        <v>3905.0</v>
      </c>
      <c r="G304" s="1">
        <f t="shared" si="1"/>
        <v>10</v>
      </c>
    </row>
    <row r="305">
      <c r="A305" s="2">
        <v>45961.0</v>
      </c>
      <c r="B305" s="1">
        <v>43734.0</v>
      </c>
      <c r="C305" s="1">
        <v>1376.0</v>
      </c>
      <c r="D305" s="3">
        <v>2001.0</v>
      </c>
      <c r="E305" s="1">
        <v>30.0</v>
      </c>
      <c r="F305" s="3">
        <v>3837.0</v>
      </c>
      <c r="G305" s="1">
        <f t="shared" si="1"/>
        <v>10</v>
      </c>
    </row>
    <row r="306">
      <c r="A306" s="2">
        <v>45962.0</v>
      </c>
      <c r="B306" s="1">
        <v>18145.0</v>
      </c>
      <c r="C306" s="1">
        <v>433.0</v>
      </c>
      <c r="D306" s="3">
        <v>779.0</v>
      </c>
      <c r="E306" s="1">
        <v>8.0</v>
      </c>
      <c r="F306" s="3">
        <v>1310.0</v>
      </c>
      <c r="G306" s="1">
        <f t="shared" si="1"/>
        <v>11</v>
      </c>
    </row>
    <row r="307">
      <c r="A307" s="2">
        <v>45963.0</v>
      </c>
      <c r="B307" s="1">
        <v>95605.0</v>
      </c>
      <c r="C307" s="1">
        <v>1966.0</v>
      </c>
      <c r="D307" s="3">
        <v>2052.0</v>
      </c>
      <c r="E307" s="1">
        <v>26.0</v>
      </c>
      <c r="F307" s="3">
        <v>4689.0</v>
      </c>
      <c r="G307" s="1">
        <f t="shared" si="1"/>
        <v>11</v>
      </c>
    </row>
    <row r="308">
      <c r="A308" s="2">
        <v>45964.0</v>
      </c>
      <c r="B308" s="1">
        <v>12276.0</v>
      </c>
      <c r="C308" s="1">
        <v>203.0</v>
      </c>
      <c r="D308" s="3">
        <v>386.0</v>
      </c>
      <c r="E308" s="1">
        <v>4.0</v>
      </c>
      <c r="F308" s="3">
        <v>734.0</v>
      </c>
      <c r="G308" s="1">
        <f t="shared" si="1"/>
        <v>11</v>
      </c>
    </row>
    <row r="309">
      <c r="A309" s="2">
        <v>45965.0</v>
      </c>
      <c r="B309" s="1">
        <v>13289.0</v>
      </c>
      <c r="C309" s="1">
        <v>234.0</v>
      </c>
      <c r="D309" s="3">
        <v>450.0</v>
      </c>
      <c r="E309" s="1">
        <v>4.0</v>
      </c>
      <c r="F309" s="3">
        <v>521.0</v>
      </c>
      <c r="G309" s="1">
        <f t="shared" si="1"/>
        <v>11</v>
      </c>
    </row>
    <row r="310">
      <c r="A310" s="2">
        <v>45966.0</v>
      </c>
      <c r="B310" s="1">
        <v>20703.0</v>
      </c>
      <c r="C310" s="1">
        <v>541.0</v>
      </c>
      <c r="D310" s="3">
        <v>751.0</v>
      </c>
      <c r="E310" s="1">
        <v>10.0</v>
      </c>
      <c r="F310" s="3">
        <v>1573.0</v>
      </c>
      <c r="G310" s="1">
        <f t="shared" si="1"/>
        <v>11</v>
      </c>
    </row>
    <row r="311">
      <c r="A311" s="2">
        <v>45967.0</v>
      </c>
      <c r="B311" s="1">
        <v>91303.0</v>
      </c>
      <c r="C311" s="1">
        <v>2704.0</v>
      </c>
      <c r="D311" s="3">
        <v>2745.0</v>
      </c>
      <c r="E311" s="1">
        <v>63.0</v>
      </c>
      <c r="F311" s="3">
        <v>10292.0</v>
      </c>
      <c r="G311" s="1">
        <f t="shared" si="1"/>
        <v>11</v>
      </c>
    </row>
    <row r="312">
      <c r="A312" s="2">
        <v>45968.0</v>
      </c>
      <c r="B312" s="1">
        <v>35422.0</v>
      </c>
      <c r="C312" s="1">
        <v>643.0</v>
      </c>
      <c r="D312" s="3">
        <v>1117.0</v>
      </c>
      <c r="E312" s="1">
        <v>13.0</v>
      </c>
      <c r="F312" s="3">
        <v>1746.0</v>
      </c>
      <c r="G312" s="1">
        <f t="shared" si="1"/>
        <v>11</v>
      </c>
    </row>
    <row r="313">
      <c r="A313" s="2">
        <v>45969.0</v>
      </c>
      <c r="B313" s="1">
        <v>86793.0</v>
      </c>
      <c r="C313" s="1">
        <v>2282.0</v>
      </c>
      <c r="D313" s="3">
        <v>2545.0</v>
      </c>
      <c r="E313" s="1">
        <v>54.0</v>
      </c>
      <c r="F313" s="3">
        <v>8343.0</v>
      </c>
      <c r="G313" s="1">
        <f t="shared" si="1"/>
        <v>11</v>
      </c>
    </row>
    <row r="314">
      <c r="A314" s="2">
        <v>45970.0</v>
      </c>
      <c r="B314" s="1">
        <v>70545.0</v>
      </c>
      <c r="C314" s="1">
        <v>1622.0</v>
      </c>
      <c r="D314" s="3">
        <v>2471.0</v>
      </c>
      <c r="E314" s="1">
        <v>36.0</v>
      </c>
      <c r="F314" s="3">
        <v>6699.0</v>
      </c>
      <c r="G314" s="1">
        <f t="shared" si="1"/>
        <v>11</v>
      </c>
    </row>
    <row r="315">
      <c r="A315" s="2">
        <v>45971.0</v>
      </c>
      <c r="B315" s="1">
        <v>21885.0</v>
      </c>
      <c r="C315" s="1">
        <v>473.0</v>
      </c>
      <c r="D315" s="3">
        <v>577.0</v>
      </c>
      <c r="E315" s="1">
        <v>10.0</v>
      </c>
      <c r="F315" s="3">
        <v>1507.0</v>
      </c>
      <c r="G315" s="1">
        <f t="shared" si="1"/>
        <v>11</v>
      </c>
    </row>
    <row r="316">
      <c r="A316" s="2">
        <v>45972.0</v>
      </c>
      <c r="B316" s="1">
        <v>34153.0</v>
      </c>
      <c r="C316" s="1">
        <v>443.0</v>
      </c>
      <c r="D316" s="3">
        <v>377.0</v>
      </c>
      <c r="E316" s="1">
        <v>9.0</v>
      </c>
      <c r="F316" s="3">
        <v>1448.0</v>
      </c>
      <c r="G316" s="1">
        <f t="shared" si="1"/>
        <v>11</v>
      </c>
    </row>
    <row r="317">
      <c r="A317" s="2">
        <v>45973.0</v>
      </c>
      <c r="B317" s="1">
        <v>55954.0</v>
      </c>
      <c r="C317" s="1">
        <v>717.0</v>
      </c>
      <c r="D317" s="3">
        <v>1400.0</v>
      </c>
      <c r="E317" s="1">
        <v>14.0</v>
      </c>
      <c r="F317" s="3">
        <v>2880.0</v>
      </c>
      <c r="G317" s="1">
        <f t="shared" si="1"/>
        <v>11</v>
      </c>
    </row>
    <row r="318">
      <c r="A318" s="2">
        <v>45974.0</v>
      </c>
      <c r="B318" s="1">
        <v>101056.0</v>
      </c>
      <c r="C318" s="1">
        <v>2456.0</v>
      </c>
      <c r="D318" s="3">
        <v>2655.0</v>
      </c>
      <c r="E318" s="1">
        <v>30.0</v>
      </c>
      <c r="F318" s="3">
        <v>3577.0</v>
      </c>
      <c r="G318" s="1">
        <f t="shared" si="1"/>
        <v>11</v>
      </c>
    </row>
    <row r="319">
      <c r="A319" s="2">
        <v>45975.0</v>
      </c>
      <c r="B319" s="1">
        <v>78238.0</v>
      </c>
      <c r="C319" s="1">
        <v>1221.0</v>
      </c>
      <c r="D319" s="3">
        <v>2048.0</v>
      </c>
      <c r="E319" s="1">
        <v>19.0</v>
      </c>
      <c r="F319" s="3">
        <v>2874.0</v>
      </c>
      <c r="G319" s="1">
        <f t="shared" si="1"/>
        <v>11</v>
      </c>
    </row>
    <row r="320">
      <c r="A320" s="2">
        <v>45976.0</v>
      </c>
      <c r="B320" s="1">
        <v>73143.0</v>
      </c>
      <c r="C320" s="1">
        <v>1265.0</v>
      </c>
      <c r="D320" s="3">
        <v>1357.0</v>
      </c>
      <c r="E320" s="1">
        <v>18.0</v>
      </c>
      <c r="F320" s="3">
        <v>2304.0</v>
      </c>
      <c r="G320" s="1">
        <f t="shared" si="1"/>
        <v>11</v>
      </c>
    </row>
    <row r="321">
      <c r="A321" s="2">
        <v>45977.0</v>
      </c>
      <c r="B321" s="1">
        <v>59011.0</v>
      </c>
      <c r="C321" s="1">
        <v>529.0</v>
      </c>
      <c r="D321" s="3">
        <v>751.0</v>
      </c>
      <c r="E321" s="1">
        <v>12.0</v>
      </c>
      <c r="F321" s="3">
        <v>1595.0</v>
      </c>
      <c r="G321" s="1">
        <f t="shared" si="1"/>
        <v>11</v>
      </c>
    </row>
    <row r="322">
      <c r="A322" s="2">
        <v>45978.0</v>
      </c>
      <c r="B322" s="1">
        <v>68100.0</v>
      </c>
      <c r="C322" s="1">
        <v>1984.0</v>
      </c>
      <c r="D322" s="3">
        <v>2552.0</v>
      </c>
      <c r="E322" s="1">
        <v>50.0</v>
      </c>
      <c r="F322" s="3">
        <v>7546.0</v>
      </c>
      <c r="G322" s="1">
        <f t="shared" si="1"/>
        <v>11</v>
      </c>
    </row>
    <row r="323">
      <c r="A323" s="2">
        <v>45979.0</v>
      </c>
      <c r="B323" s="1">
        <v>72521.0</v>
      </c>
      <c r="C323" s="1">
        <v>977.0</v>
      </c>
      <c r="D323" s="3">
        <v>1649.0</v>
      </c>
      <c r="E323" s="1">
        <v>24.0</v>
      </c>
      <c r="F323" s="3">
        <v>3333.0</v>
      </c>
      <c r="G323" s="1">
        <f t="shared" si="1"/>
        <v>11</v>
      </c>
    </row>
    <row r="324">
      <c r="A324" s="2">
        <v>45980.0</v>
      </c>
      <c r="B324" s="1">
        <v>61360.0</v>
      </c>
      <c r="C324" s="1">
        <v>783.0</v>
      </c>
      <c r="D324" s="3">
        <v>1327.0</v>
      </c>
      <c r="E324" s="1">
        <v>11.0</v>
      </c>
      <c r="F324" s="3">
        <v>1757.0</v>
      </c>
      <c r="G324" s="1">
        <f t="shared" si="1"/>
        <v>11</v>
      </c>
    </row>
    <row r="325">
      <c r="A325" s="2">
        <v>45981.0</v>
      </c>
      <c r="B325" s="1">
        <v>79103.0</v>
      </c>
      <c r="C325" s="1">
        <v>1466.0</v>
      </c>
      <c r="D325" s="3">
        <v>1778.0</v>
      </c>
      <c r="E325" s="1">
        <v>32.0</v>
      </c>
      <c r="F325" s="3">
        <v>6269.0</v>
      </c>
      <c r="G325" s="1">
        <f t="shared" si="1"/>
        <v>11</v>
      </c>
    </row>
    <row r="326">
      <c r="A326" s="2">
        <v>45982.0</v>
      </c>
      <c r="B326" s="1">
        <v>24707.0</v>
      </c>
      <c r="C326" s="1">
        <v>282.0</v>
      </c>
      <c r="D326" s="3">
        <v>415.0</v>
      </c>
      <c r="E326" s="1">
        <v>6.0</v>
      </c>
      <c r="F326" s="3">
        <v>1119.0</v>
      </c>
      <c r="G326" s="1">
        <f t="shared" si="1"/>
        <v>11</v>
      </c>
    </row>
    <row r="327">
      <c r="A327" s="2">
        <v>45983.0</v>
      </c>
      <c r="B327" s="1">
        <v>90610.0</v>
      </c>
      <c r="C327" s="1">
        <v>2321.0</v>
      </c>
      <c r="D327" s="3">
        <v>3228.0</v>
      </c>
      <c r="E327" s="1">
        <v>37.0</v>
      </c>
      <c r="F327" s="3">
        <v>3925.0</v>
      </c>
      <c r="G327" s="1">
        <f t="shared" si="1"/>
        <v>11</v>
      </c>
    </row>
    <row r="328">
      <c r="A328" s="2">
        <v>45984.0</v>
      </c>
      <c r="B328" s="1">
        <v>65307.0</v>
      </c>
      <c r="C328" s="1">
        <v>784.0</v>
      </c>
      <c r="D328" s="3">
        <v>1151.0</v>
      </c>
      <c r="E328" s="1">
        <v>9.0</v>
      </c>
      <c r="F328" s="3">
        <v>1626.0</v>
      </c>
      <c r="G328" s="1">
        <f t="shared" si="1"/>
        <v>11</v>
      </c>
    </row>
    <row r="329">
      <c r="A329" s="2">
        <v>45985.0</v>
      </c>
      <c r="B329" s="1">
        <v>48991.0</v>
      </c>
      <c r="C329" s="1">
        <v>743.0</v>
      </c>
      <c r="D329" s="3">
        <v>1302.0</v>
      </c>
      <c r="E329" s="1">
        <v>10.0</v>
      </c>
      <c r="F329" s="3">
        <v>1484.0</v>
      </c>
      <c r="G329" s="1">
        <f t="shared" si="1"/>
        <v>11</v>
      </c>
    </row>
    <row r="330">
      <c r="A330" s="2">
        <v>45986.0</v>
      </c>
      <c r="B330" s="1">
        <v>17772.0</v>
      </c>
      <c r="C330" s="1">
        <v>225.0</v>
      </c>
      <c r="D330" s="3">
        <v>350.0</v>
      </c>
      <c r="E330" s="1">
        <v>3.0</v>
      </c>
      <c r="F330" s="3">
        <v>592.0</v>
      </c>
      <c r="G330" s="1">
        <f t="shared" si="1"/>
        <v>11</v>
      </c>
    </row>
    <row r="331">
      <c r="A331" s="2">
        <v>45987.0</v>
      </c>
      <c r="B331" s="1">
        <v>15340.0</v>
      </c>
      <c r="C331" s="1">
        <v>161.0</v>
      </c>
      <c r="D331" s="3">
        <v>304.0</v>
      </c>
      <c r="E331" s="1">
        <v>3.0</v>
      </c>
      <c r="F331" s="3">
        <v>430.0</v>
      </c>
      <c r="G331" s="1">
        <f t="shared" si="1"/>
        <v>11</v>
      </c>
    </row>
    <row r="332">
      <c r="A332" s="2">
        <v>45988.0</v>
      </c>
      <c r="B332" s="1">
        <v>14040.0</v>
      </c>
      <c r="C332" s="1">
        <v>235.0</v>
      </c>
      <c r="D332" s="3">
        <v>370.0</v>
      </c>
      <c r="E332" s="1">
        <v>3.0</v>
      </c>
      <c r="F332" s="3">
        <v>586.0</v>
      </c>
      <c r="G332" s="1">
        <f t="shared" si="1"/>
        <v>11</v>
      </c>
    </row>
    <row r="333">
      <c r="A333" s="2">
        <v>45989.0</v>
      </c>
      <c r="B333" s="1">
        <v>76119.0</v>
      </c>
      <c r="C333" s="1">
        <v>1764.0</v>
      </c>
      <c r="D333" s="3">
        <v>3154.0</v>
      </c>
      <c r="E333" s="1">
        <v>22.0</v>
      </c>
      <c r="F333" s="3">
        <v>2812.0</v>
      </c>
      <c r="G333" s="1">
        <f t="shared" si="1"/>
        <v>11</v>
      </c>
    </row>
    <row r="334">
      <c r="A334" s="2">
        <v>45990.0</v>
      </c>
      <c r="B334" s="1">
        <v>27517.0</v>
      </c>
      <c r="C334" s="1">
        <v>702.0</v>
      </c>
      <c r="D334" s="3">
        <v>1088.0</v>
      </c>
      <c r="E334" s="1">
        <v>10.0</v>
      </c>
      <c r="F334" s="3">
        <v>1905.0</v>
      </c>
      <c r="G334" s="1">
        <f t="shared" si="1"/>
        <v>11</v>
      </c>
    </row>
    <row r="335">
      <c r="A335" s="2">
        <v>45991.0</v>
      </c>
      <c r="B335" s="1">
        <v>38969.0</v>
      </c>
      <c r="C335" s="1">
        <v>1025.0</v>
      </c>
      <c r="D335" s="3">
        <v>1451.0</v>
      </c>
      <c r="E335" s="1">
        <v>17.0</v>
      </c>
      <c r="F335" s="3">
        <v>2868.0</v>
      </c>
      <c r="G335" s="1">
        <f t="shared" si="1"/>
        <v>11</v>
      </c>
    </row>
    <row r="336">
      <c r="A336" s="2">
        <v>45992.0</v>
      </c>
      <c r="B336" s="1">
        <v>106305.0</v>
      </c>
      <c r="C336" s="1">
        <v>2531.0</v>
      </c>
      <c r="D336" s="3">
        <v>2905.0</v>
      </c>
      <c r="E336" s="1">
        <v>31.0</v>
      </c>
      <c r="F336" s="3">
        <v>5833.0</v>
      </c>
      <c r="G336" s="1">
        <f t="shared" si="1"/>
        <v>12</v>
      </c>
    </row>
    <row r="337">
      <c r="A337" s="2">
        <v>45993.0</v>
      </c>
      <c r="B337" s="1">
        <v>86838.0</v>
      </c>
      <c r="C337" s="1">
        <v>1805.0</v>
      </c>
      <c r="D337" s="3">
        <v>2577.0</v>
      </c>
      <c r="E337" s="1">
        <v>37.0</v>
      </c>
      <c r="F337" s="3">
        <v>6574.0</v>
      </c>
      <c r="G337" s="1">
        <f t="shared" si="1"/>
        <v>12</v>
      </c>
    </row>
    <row r="338">
      <c r="A338" s="2">
        <v>45994.0</v>
      </c>
      <c r="B338" s="1">
        <v>63290.0</v>
      </c>
      <c r="C338" s="1">
        <v>730.0</v>
      </c>
      <c r="D338" s="3">
        <v>1257.0</v>
      </c>
      <c r="E338" s="1">
        <v>12.0</v>
      </c>
      <c r="F338" s="3">
        <v>2476.0</v>
      </c>
      <c r="G338" s="1">
        <f t="shared" si="1"/>
        <v>12</v>
      </c>
    </row>
    <row r="339">
      <c r="A339" s="2">
        <v>45995.0</v>
      </c>
      <c r="B339" s="1">
        <v>110538.0</v>
      </c>
      <c r="C339" s="1">
        <v>2668.0</v>
      </c>
      <c r="D339" s="3">
        <v>5060.0</v>
      </c>
      <c r="E339" s="1">
        <v>66.0</v>
      </c>
      <c r="F339" s="3">
        <v>11025.0</v>
      </c>
      <c r="G339" s="1">
        <f t="shared" si="1"/>
        <v>12</v>
      </c>
    </row>
    <row r="340">
      <c r="A340" s="2">
        <v>45996.0</v>
      </c>
      <c r="B340" s="1">
        <v>78543.0</v>
      </c>
      <c r="C340" s="1">
        <v>749.0</v>
      </c>
      <c r="D340" s="3">
        <v>1211.0</v>
      </c>
      <c r="E340" s="1">
        <v>17.0</v>
      </c>
      <c r="F340" s="3">
        <v>2394.0</v>
      </c>
      <c r="G340" s="1">
        <f t="shared" si="1"/>
        <v>12</v>
      </c>
    </row>
    <row r="341">
      <c r="A341" s="2">
        <v>45997.0</v>
      </c>
      <c r="B341" s="1">
        <v>51464.0</v>
      </c>
      <c r="C341" s="1">
        <v>1626.0</v>
      </c>
      <c r="D341" s="3">
        <v>2787.0</v>
      </c>
      <c r="E341" s="1">
        <v>22.0</v>
      </c>
      <c r="F341" s="3">
        <v>4551.0</v>
      </c>
      <c r="G341" s="1">
        <f t="shared" si="1"/>
        <v>12</v>
      </c>
    </row>
    <row r="342">
      <c r="A342" s="2">
        <v>45998.0</v>
      </c>
      <c r="B342" s="1">
        <v>69466.0</v>
      </c>
      <c r="C342" s="1">
        <v>1623.0</v>
      </c>
      <c r="D342" s="3">
        <v>2087.0</v>
      </c>
      <c r="E342" s="1">
        <v>31.0</v>
      </c>
      <c r="F342" s="3">
        <v>4149.0</v>
      </c>
      <c r="G342" s="1">
        <f t="shared" si="1"/>
        <v>12</v>
      </c>
    </row>
    <row r="343">
      <c r="A343" s="2">
        <v>45999.0</v>
      </c>
      <c r="B343" s="1">
        <v>104688.0</v>
      </c>
      <c r="C343" s="1">
        <v>1635.0</v>
      </c>
      <c r="D343" s="3">
        <v>3452.0</v>
      </c>
      <c r="E343" s="1">
        <v>29.0</v>
      </c>
      <c r="F343" s="3">
        <v>5835.0</v>
      </c>
      <c r="G343" s="1">
        <f t="shared" si="1"/>
        <v>12</v>
      </c>
    </row>
    <row r="344">
      <c r="A344" s="2">
        <v>46000.0</v>
      </c>
      <c r="B344" s="1">
        <v>75437.0</v>
      </c>
      <c r="C344" s="1">
        <v>1700.0</v>
      </c>
      <c r="D344" s="3">
        <v>2936.0</v>
      </c>
      <c r="E344" s="1">
        <v>38.0</v>
      </c>
      <c r="F344" s="3">
        <v>5132.0</v>
      </c>
      <c r="G344" s="1">
        <f t="shared" si="1"/>
        <v>12</v>
      </c>
    </row>
    <row r="345">
      <c r="A345" s="2">
        <v>46001.0</v>
      </c>
      <c r="B345" s="1">
        <v>45951.0</v>
      </c>
      <c r="C345" s="1">
        <v>906.0</v>
      </c>
      <c r="D345" s="3">
        <v>1458.0</v>
      </c>
      <c r="E345" s="1">
        <v>11.0</v>
      </c>
      <c r="F345" s="3">
        <v>1636.0</v>
      </c>
      <c r="G345" s="1">
        <f t="shared" si="1"/>
        <v>12</v>
      </c>
    </row>
    <row r="346">
      <c r="A346" s="2">
        <v>46002.0</v>
      </c>
      <c r="B346" s="1">
        <v>67590.0</v>
      </c>
      <c r="C346" s="1">
        <v>712.0</v>
      </c>
      <c r="D346" s="3">
        <v>1535.0</v>
      </c>
      <c r="E346" s="1">
        <v>9.0</v>
      </c>
      <c r="F346" s="3">
        <v>1779.0</v>
      </c>
      <c r="G346" s="1">
        <f t="shared" si="1"/>
        <v>12</v>
      </c>
    </row>
    <row r="347">
      <c r="A347" s="2">
        <v>46003.0</v>
      </c>
      <c r="B347" s="1">
        <v>34901.0</v>
      </c>
      <c r="C347" s="1">
        <v>345.0</v>
      </c>
      <c r="D347" s="3">
        <v>630.0</v>
      </c>
      <c r="E347" s="1">
        <v>4.0</v>
      </c>
      <c r="F347" s="3">
        <v>603.0</v>
      </c>
      <c r="G347" s="1">
        <f t="shared" si="1"/>
        <v>12</v>
      </c>
    </row>
    <row r="348">
      <c r="A348" s="2">
        <v>46004.0</v>
      </c>
      <c r="B348" s="1">
        <v>117250.0</v>
      </c>
      <c r="C348" s="1">
        <v>2341.0</v>
      </c>
      <c r="D348" s="3">
        <v>3446.0</v>
      </c>
      <c r="E348" s="1">
        <v>45.0</v>
      </c>
      <c r="F348" s="3">
        <v>6394.0</v>
      </c>
      <c r="G348" s="1">
        <f t="shared" si="1"/>
        <v>12</v>
      </c>
    </row>
    <row r="349">
      <c r="A349" s="2">
        <v>46005.0</v>
      </c>
      <c r="B349" s="1">
        <v>23580.0</v>
      </c>
      <c r="C349" s="1">
        <v>690.0</v>
      </c>
      <c r="D349" s="3">
        <v>1219.0</v>
      </c>
      <c r="E349" s="1">
        <v>12.0</v>
      </c>
      <c r="F349" s="3">
        <v>1969.0</v>
      </c>
      <c r="G349" s="1">
        <f t="shared" si="1"/>
        <v>12</v>
      </c>
    </row>
    <row r="350">
      <c r="A350" s="2">
        <v>46006.0</v>
      </c>
      <c r="B350" s="1">
        <v>118209.0</v>
      </c>
      <c r="C350" s="1">
        <v>3022.0</v>
      </c>
      <c r="D350" s="3">
        <v>4503.0</v>
      </c>
      <c r="E350" s="1">
        <v>55.0</v>
      </c>
      <c r="F350" s="3">
        <v>6257.0</v>
      </c>
      <c r="G350" s="1">
        <f t="shared" si="1"/>
        <v>12</v>
      </c>
    </row>
    <row r="351">
      <c r="A351" s="2">
        <v>46007.0</v>
      </c>
      <c r="B351" s="1">
        <v>88263.0</v>
      </c>
      <c r="C351" s="1">
        <v>2247.0</v>
      </c>
      <c r="D351" s="3">
        <v>2807.0</v>
      </c>
      <c r="E351" s="1">
        <v>54.0</v>
      </c>
      <c r="F351" s="3">
        <v>10718.0</v>
      </c>
      <c r="G351" s="1">
        <f t="shared" si="1"/>
        <v>12</v>
      </c>
    </row>
    <row r="352">
      <c r="A352" s="2">
        <v>46008.0</v>
      </c>
      <c r="B352" s="1">
        <v>47023.0</v>
      </c>
      <c r="C352" s="1">
        <v>740.0</v>
      </c>
      <c r="D352" s="3">
        <v>1013.0</v>
      </c>
      <c r="E352" s="1">
        <v>9.0</v>
      </c>
      <c r="F352" s="3">
        <v>1798.0</v>
      </c>
      <c r="G352" s="1">
        <f t="shared" si="1"/>
        <v>12</v>
      </c>
    </row>
    <row r="353">
      <c r="A353" s="2">
        <v>46009.0</v>
      </c>
      <c r="B353" s="1">
        <v>92320.0</v>
      </c>
      <c r="C353" s="1">
        <v>1798.0</v>
      </c>
      <c r="D353" s="3">
        <v>2881.0</v>
      </c>
      <c r="E353" s="1">
        <v>30.0</v>
      </c>
      <c r="F353" s="3">
        <v>5413.0</v>
      </c>
      <c r="G353" s="1">
        <f t="shared" si="1"/>
        <v>12</v>
      </c>
    </row>
    <row r="354">
      <c r="A354" s="2">
        <v>46010.0</v>
      </c>
      <c r="B354" s="1">
        <v>75577.0</v>
      </c>
      <c r="C354" s="1">
        <v>2223.0</v>
      </c>
      <c r="D354" s="3">
        <v>4012.0</v>
      </c>
      <c r="E354" s="1">
        <v>35.0</v>
      </c>
      <c r="F354" s="3">
        <v>4791.0</v>
      </c>
      <c r="G354" s="1">
        <f t="shared" si="1"/>
        <v>12</v>
      </c>
    </row>
    <row r="355">
      <c r="A355" s="2">
        <v>46011.0</v>
      </c>
      <c r="B355" s="1">
        <v>97231.0</v>
      </c>
      <c r="C355" s="1">
        <v>2509.0</v>
      </c>
      <c r="D355" s="3">
        <v>3337.0</v>
      </c>
      <c r="E355" s="1">
        <v>37.0</v>
      </c>
      <c r="F355" s="3">
        <v>6166.0</v>
      </c>
      <c r="G355" s="1">
        <f t="shared" si="1"/>
        <v>12</v>
      </c>
    </row>
    <row r="356">
      <c r="A356" s="2">
        <v>46012.0</v>
      </c>
      <c r="B356" s="1">
        <v>22728.0</v>
      </c>
      <c r="C356" s="1">
        <v>263.0</v>
      </c>
      <c r="D356" s="3">
        <v>395.0</v>
      </c>
      <c r="E356" s="1">
        <v>4.0</v>
      </c>
      <c r="F356" s="3">
        <v>799.0</v>
      </c>
      <c r="G356" s="1">
        <f t="shared" si="1"/>
        <v>12</v>
      </c>
    </row>
    <row r="357">
      <c r="A357" s="2">
        <v>46013.0</v>
      </c>
      <c r="B357" s="1">
        <v>67243.0</v>
      </c>
      <c r="C357" s="1">
        <v>1130.0</v>
      </c>
      <c r="D357" s="3">
        <v>1306.0</v>
      </c>
      <c r="E357" s="1">
        <v>16.0</v>
      </c>
      <c r="F357" s="3">
        <v>1960.0</v>
      </c>
      <c r="G357" s="1">
        <f t="shared" si="1"/>
        <v>12</v>
      </c>
    </row>
    <row r="358">
      <c r="A358" s="2">
        <v>46014.0</v>
      </c>
      <c r="B358" s="1">
        <v>68598.0</v>
      </c>
      <c r="C358" s="1">
        <v>798.0</v>
      </c>
      <c r="D358" s="3">
        <v>1184.0</v>
      </c>
      <c r="E358" s="1">
        <v>16.0</v>
      </c>
      <c r="F358" s="3">
        <v>3076.0</v>
      </c>
      <c r="G358" s="1">
        <f t="shared" si="1"/>
        <v>12</v>
      </c>
    </row>
    <row r="359">
      <c r="A359" s="2">
        <v>46015.0</v>
      </c>
      <c r="B359" s="1">
        <v>72214.0</v>
      </c>
      <c r="C359" s="1">
        <v>1685.0</v>
      </c>
      <c r="D359" s="3">
        <v>2161.0</v>
      </c>
      <c r="E359" s="1">
        <v>32.0</v>
      </c>
      <c r="F359" s="3">
        <v>4583.0</v>
      </c>
      <c r="G359" s="1">
        <f t="shared" si="1"/>
        <v>12</v>
      </c>
    </row>
    <row r="360">
      <c r="A360" s="2">
        <v>46016.0</v>
      </c>
      <c r="B360" s="1">
        <v>101958.0</v>
      </c>
      <c r="C360" s="1">
        <v>1375.0</v>
      </c>
      <c r="D360" s="3">
        <v>1523.0</v>
      </c>
      <c r="E360" s="1">
        <v>22.0</v>
      </c>
      <c r="F360" s="3">
        <v>3095.0</v>
      </c>
      <c r="G360" s="1">
        <f t="shared" si="1"/>
        <v>12</v>
      </c>
    </row>
    <row r="361">
      <c r="A361" s="2">
        <v>46017.0</v>
      </c>
      <c r="B361" s="1">
        <v>28717.0</v>
      </c>
      <c r="C361" s="1">
        <v>590.0</v>
      </c>
      <c r="D361" s="3">
        <v>642.0</v>
      </c>
      <c r="E361" s="1">
        <v>8.0</v>
      </c>
      <c r="F361" s="3">
        <v>1397.0</v>
      </c>
      <c r="G361" s="1">
        <f t="shared" si="1"/>
        <v>12</v>
      </c>
    </row>
    <row r="362">
      <c r="A362" s="2">
        <v>46018.0</v>
      </c>
      <c r="B362" s="1">
        <v>98027.0</v>
      </c>
      <c r="C362" s="1">
        <v>2342.0</v>
      </c>
      <c r="D362" s="3">
        <v>2389.0</v>
      </c>
      <c r="E362" s="1">
        <v>27.0</v>
      </c>
      <c r="F362" s="3">
        <v>5010.0</v>
      </c>
      <c r="G362" s="1">
        <f t="shared" si="1"/>
        <v>12</v>
      </c>
    </row>
    <row r="363">
      <c r="A363" s="2">
        <v>46019.0</v>
      </c>
      <c r="B363" s="1">
        <v>93487.0</v>
      </c>
      <c r="C363" s="1">
        <v>2371.0</v>
      </c>
      <c r="D363" s="3">
        <v>4002.0</v>
      </c>
      <c r="E363" s="1">
        <v>42.0</v>
      </c>
      <c r="F363" s="3">
        <v>6751.0</v>
      </c>
      <c r="G363" s="1">
        <f t="shared" si="1"/>
        <v>12</v>
      </c>
    </row>
    <row r="364">
      <c r="A364" s="2">
        <v>46020.0</v>
      </c>
      <c r="B364" s="1">
        <v>56358.0</v>
      </c>
      <c r="C364" s="1">
        <v>1127.0</v>
      </c>
      <c r="D364" s="3">
        <v>1266.0</v>
      </c>
      <c r="E364" s="1">
        <v>15.0</v>
      </c>
      <c r="F364" s="3">
        <v>1626.0</v>
      </c>
      <c r="G364" s="1">
        <f t="shared" si="1"/>
        <v>12</v>
      </c>
    </row>
    <row r="365">
      <c r="A365" s="2">
        <v>46021.0</v>
      </c>
      <c r="B365" s="1">
        <v>46415.0</v>
      </c>
      <c r="C365" s="1">
        <v>1176.0</v>
      </c>
      <c r="D365" s="3">
        <v>1755.0</v>
      </c>
      <c r="E365" s="1">
        <v>23.0</v>
      </c>
      <c r="F365" s="3">
        <v>3770.0</v>
      </c>
      <c r="G365" s="1">
        <f t="shared" si="1"/>
        <v>12</v>
      </c>
    </row>
    <row r="366">
      <c r="A366" s="2">
        <v>46022.0</v>
      </c>
      <c r="B366" s="1">
        <v>83988.0</v>
      </c>
      <c r="C366" s="1">
        <v>2183.0</v>
      </c>
      <c r="D366" s="3">
        <v>2219.0</v>
      </c>
      <c r="E366" s="1">
        <v>41.0</v>
      </c>
      <c r="F366" s="3">
        <v>5949.0</v>
      </c>
      <c r="G366" s="1">
        <f t="shared" si="1"/>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2" width="16.0"/>
    <col customWidth="1" min="3" max="3" width="11.5"/>
    <col customWidth="1" min="5" max="5" width="16.25"/>
    <col customWidth="1" min="6" max="6" width="16.13"/>
    <col customWidth="1" min="7" max="7" width="12.75"/>
    <col customWidth="1" min="8" max="8" width="16.25"/>
    <col customWidth="1" min="9" max="9" width="10.75"/>
    <col customWidth="1" min="10" max="10" width="11.38"/>
    <col customWidth="1" min="11" max="11" width="19.75"/>
    <col customWidth="1" min="12" max="12" width="12.88"/>
  </cols>
  <sheetData>
    <row r="1">
      <c r="G1" s="6" t="s">
        <v>12</v>
      </c>
      <c r="H1" s="6" t="s">
        <v>13</v>
      </c>
      <c r="I1" s="7" t="s">
        <v>14</v>
      </c>
      <c r="J1" s="7" t="s">
        <v>15</v>
      </c>
      <c r="K1" s="7" t="s">
        <v>16</v>
      </c>
      <c r="L1" s="8" t="s">
        <v>17</v>
      </c>
    </row>
    <row r="2">
      <c r="G2" s="11">
        <f t="shared" ref="G2:G367" si="2">IFERROR(C2/B2,0)</f>
        <v>0.0176393251</v>
      </c>
      <c r="H2" s="11">
        <f t="shared" ref="H2:H367" si="3">IFERROR(E2/C2,0)</f>
        <v>0.016563147</v>
      </c>
      <c r="I2" s="12">
        <f t="shared" ref="I2:J2" si="1">IFERROR(D2/B2*1000,0)</f>
        <v>23.59214082</v>
      </c>
      <c r="J2" s="12">
        <f t="shared" si="1"/>
        <v>16.563147</v>
      </c>
      <c r="K2" s="12">
        <f t="shared" ref="K2:K367" si="5">IFERROR(F2/E2,0)</f>
        <v>171.875</v>
      </c>
      <c r="L2" s="4">
        <f t="shared" ref="L2:L367" si="6">IFERROR(F2/D2,0)</f>
        <v>2.128482972</v>
      </c>
    </row>
    <row r="3">
      <c r="G3" s="11">
        <f t="shared" si="2"/>
        <v>0.01574096483</v>
      </c>
      <c r="H3" s="11">
        <f t="shared" si="3"/>
        <v>0.02242152466</v>
      </c>
      <c r="I3" s="12">
        <f t="shared" ref="I3:J3" si="4">IFERROR(D3/B3*1000,0)</f>
        <v>22.73919006</v>
      </c>
      <c r="J3" s="12">
        <f t="shared" si="4"/>
        <v>22.42152466</v>
      </c>
      <c r="K3" s="12">
        <f t="shared" si="5"/>
        <v>147.4</v>
      </c>
      <c r="L3" s="4">
        <f t="shared" si="6"/>
        <v>2.287804878</v>
      </c>
    </row>
    <row r="4">
      <c r="G4" s="11">
        <f t="shared" si="2"/>
        <v>0.01833322141</v>
      </c>
      <c r="H4" s="11">
        <f t="shared" si="3"/>
        <v>0.02197802198</v>
      </c>
      <c r="I4" s="12">
        <f t="shared" ref="I4:J4" si="7">IFERROR(D4/B4*1000,0)</f>
        <v>20.88509838</v>
      </c>
      <c r="J4" s="12">
        <f t="shared" si="7"/>
        <v>21.97802198</v>
      </c>
      <c r="K4" s="12">
        <f t="shared" si="5"/>
        <v>119.5</v>
      </c>
      <c r="L4" s="4">
        <f t="shared" si="6"/>
        <v>2.305466238</v>
      </c>
    </row>
    <row r="5">
      <c r="G5" s="11">
        <f t="shared" si="2"/>
        <v>0.01586452348</v>
      </c>
      <c r="H5" s="11">
        <f t="shared" si="3"/>
        <v>0.01906158358</v>
      </c>
      <c r="I5" s="12">
        <f t="shared" ref="I5:J5" si="8">IFERROR(D5/B5*1000,0)</f>
        <v>27.72802345</v>
      </c>
      <c r="J5" s="12">
        <f t="shared" si="8"/>
        <v>19.06158358</v>
      </c>
      <c r="K5" s="12">
        <f t="shared" si="5"/>
        <v>228.3846154</v>
      </c>
      <c r="L5" s="4">
        <f t="shared" si="6"/>
        <v>2.490771812</v>
      </c>
    </row>
    <row r="6">
      <c r="G6" s="11">
        <f t="shared" si="2"/>
        <v>0.01536516313</v>
      </c>
      <c r="H6" s="11">
        <f t="shared" si="3"/>
        <v>0.02325581395</v>
      </c>
      <c r="I6" s="12">
        <f t="shared" ref="I6:J6" si="9">IFERROR(D6/B6*1000,0)</f>
        <v>21.54971001</v>
      </c>
      <c r="J6" s="12">
        <f t="shared" si="9"/>
        <v>23.25581395</v>
      </c>
      <c r="K6" s="12">
        <f t="shared" si="5"/>
        <v>196.6153846</v>
      </c>
      <c r="L6" s="4">
        <f t="shared" si="6"/>
        <v>3.260204082</v>
      </c>
    </row>
    <row r="7">
      <c r="G7" s="11">
        <f t="shared" si="2"/>
        <v>0.0198641706</v>
      </c>
      <c r="H7" s="11">
        <f t="shared" si="3"/>
        <v>0.01417183348</v>
      </c>
      <c r="I7" s="12">
        <f t="shared" ref="I7:J7" si="10">IFERROR(D7/B7*1000,0)</f>
        <v>35.45288198</v>
      </c>
      <c r="J7" s="12">
        <f t="shared" si="10"/>
        <v>14.17183348</v>
      </c>
      <c r="K7" s="12">
        <f t="shared" si="5"/>
        <v>168.5625</v>
      </c>
      <c r="L7" s="4">
        <f t="shared" si="6"/>
        <v>1.338461538</v>
      </c>
    </row>
    <row r="8">
      <c r="G8" s="11">
        <f t="shared" si="2"/>
        <v>0.0249314114</v>
      </c>
      <c r="H8" s="11">
        <f t="shared" si="3"/>
        <v>0.02445414847</v>
      </c>
      <c r="I8" s="12">
        <f t="shared" ref="I8:J8" si="11">IFERROR(D8/B8*1000,0)</f>
        <v>26.52092497</v>
      </c>
      <c r="J8" s="12">
        <f t="shared" si="11"/>
        <v>24.45414847</v>
      </c>
      <c r="K8" s="12">
        <f t="shared" si="5"/>
        <v>198.1785714</v>
      </c>
      <c r="L8" s="4">
        <f t="shared" si="6"/>
        <v>4.555829228</v>
      </c>
    </row>
    <row r="9">
      <c r="G9" s="11">
        <f t="shared" si="2"/>
        <v>0.00826542221</v>
      </c>
      <c r="H9" s="11">
        <f t="shared" si="3"/>
        <v>0.02528089888</v>
      </c>
      <c r="I9" s="12">
        <f t="shared" ref="I9:J9" si="12">IFERROR(D9/B9*1000,0)</f>
        <v>13.97692183</v>
      </c>
      <c r="J9" s="12">
        <f t="shared" si="12"/>
        <v>25.28089888</v>
      </c>
      <c r="K9" s="12">
        <f t="shared" si="5"/>
        <v>155</v>
      </c>
      <c r="L9" s="4">
        <f t="shared" si="6"/>
        <v>2.317275748</v>
      </c>
    </row>
    <row r="10">
      <c r="G10" s="11">
        <f t="shared" si="2"/>
        <v>0.0226734513</v>
      </c>
      <c r="H10" s="11">
        <f t="shared" si="3"/>
        <v>0.01606855919</v>
      </c>
      <c r="I10" s="12">
        <f t="shared" ref="I10:J10" si="13">IFERROR(D10/B10*1000,0)</f>
        <v>28.52701505</v>
      </c>
      <c r="J10" s="12">
        <f t="shared" si="13"/>
        <v>16.06855919</v>
      </c>
      <c r="K10" s="12">
        <f t="shared" si="5"/>
        <v>194.5</v>
      </c>
      <c r="L10" s="4">
        <f t="shared" si="6"/>
        <v>2.48403576</v>
      </c>
    </row>
    <row r="11">
      <c r="G11" s="11">
        <f t="shared" si="2"/>
        <v>0.01642837413</v>
      </c>
      <c r="H11" s="11">
        <f t="shared" si="3"/>
        <v>0.0128102482</v>
      </c>
      <c r="I11" s="12">
        <f t="shared" ref="I11:J11" si="14">IFERROR(D11/B11*1000,0)</f>
        <v>31.77818407</v>
      </c>
      <c r="J11" s="12">
        <f t="shared" si="14"/>
        <v>12.8102482</v>
      </c>
      <c r="K11" s="12">
        <f t="shared" si="5"/>
        <v>192.8125</v>
      </c>
      <c r="L11" s="4">
        <f t="shared" si="6"/>
        <v>1.276903974</v>
      </c>
    </row>
    <row r="12">
      <c r="G12" s="11">
        <f t="shared" si="2"/>
        <v>0.009054301102</v>
      </c>
      <c r="H12" s="11">
        <f t="shared" si="3"/>
        <v>0.02455661664</v>
      </c>
      <c r="I12" s="12">
        <f t="shared" ref="I12:J12" si="15">IFERROR(D12/B12*1000,0)</f>
        <v>15.79870547</v>
      </c>
      <c r="J12" s="12">
        <f t="shared" si="15"/>
        <v>24.55661664</v>
      </c>
      <c r="K12" s="12">
        <f t="shared" si="5"/>
        <v>161.7777778</v>
      </c>
      <c r="L12" s="4">
        <f t="shared" si="6"/>
        <v>2.276778733</v>
      </c>
      <c r="M12" s="5"/>
      <c r="N12" s="5"/>
      <c r="O12" s="13"/>
      <c r="P12" s="13"/>
      <c r="Q12" s="13"/>
      <c r="R12" s="13"/>
      <c r="S12" s="13"/>
      <c r="T12" s="13"/>
      <c r="U12" s="13"/>
    </row>
    <row r="13">
      <c r="G13" s="11">
        <f t="shared" si="2"/>
        <v>0.01956751675</v>
      </c>
      <c r="H13" s="11">
        <f t="shared" si="3"/>
        <v>0.01126126126</v>
      </c>
      <c r="I13" s="12">
        <f t="shared" ref="I13:J13" si="16">IFERROR(D13/B13*1000,0)</f>
        <v>34.77200611</v>
      </c>
      <c r="J13" s="12">
        <f t="shared" si="16"/>
        <v>11.26126126</v>
      </c>
      <c r="K13" s="12">
        <f t="shared" si="5"/>
        <v>215.6</v>
      </c>
      <c r="L13" s="4">
        <f t="shared" si="6"/>
        <v>1.366286439</v>
      </c>
    </row>
    <row r="14">
      <c r="G14" s="11">
        <f t="shared" si="2"/>
        <v>0.01994713548</v>
      </c>
      <c r="H14" s="11">
        <f t="shared" si="3"/>
        <v>0.01489470981</v>
      </c>
      <c r="I14" s="12">
        <f t="shared" ref="I14:J14" si="17">IFERROR(D14/B14*1000,0)</f>
        <v>21.74002131</v>
      </c>
      <c r="J14" s="12">
        <f t="shared" si="17"/>
        <v>14.89470981</v>
      </c>
      <c r="K14" s="12">
        <f t="shared" si="5"/>
        <v>117.0689655</v>
      </c>
      <c r="L14" s="4">
        <f t="shared" si="6"/>
        <v>1.599905749</v>
      </c>
    </row>
    <row r="15">
      <c r="G15" s="11">
        <f t="shared" si="2"/>
        <v>0.01799938837</v>
      </c>
      <c r="H15" s="11">
        <f t="shared" si="3"/>
        <v>0.01941747573</v>
      </c>
      <c r="I15" s="12">
        <f t="shared" ref="I15:J15" si="18">IFERROR(D15/B15*1000,0)</f>
        <v>36.15896547</v>
      </c>
      <c r="J15" s="12">
        <f t="shared" si="18"/>
        <v>19.41747573</v>
      </c>
      <c r="K15" s="12">
        <f t="shared" si="5"/>
        <v>149.375</v>
      </c>
      <c r="L15" s="4">
        <f t="shared" si="6"/>
        <v>1.443817962</v>
      </c>
    </row>
    <row r="16">
      <c r="G16" s="11">
        <f t="shared" si="2"/>
        <v>0.03069731801</v>
      </c>
      <c r="H16" s="11">
        <f t="shared" si="3"/>
        <v>0.01198202696</v>
      </c>
      <c r="I16" s="12">
        <f t="shared" ref="I16:J16" si="19">IFERROR(D16/B16*1000,0)</f>
        <v>38.03831418</v>
      </c>
      <c r="J16" s="12">
        <f t="shared" si="19"/>
        <v>11.98202696</v>
      </c>
      <c r="K16" s="12">
        <f t="shared" si="5"/>
        <v>101.5</v>
      </c>
      <c r="L16" s="4">
        <f t="shared" si="6"/>
        <v>0.9814665592</v>
      </c>
    </row>
    <row r="17">
      <c r="G17" s="11">
        <f t="shared" si="2"/>
        <v>0.02817038224</v>
      </c>
      <c r="H17" s="11">
        <f t="shared" si="3"/>
        <v>0.01724137931</v>
      </c>
      <c r="I17" s="12">
        <f t="shared" ref="I17:J17" si="20">IFERROR(D17/B17*1000,0)</f>
        <v>55.56365049</v>
      </c>
      <c r="J17" s="12">
        <f t="shared" si="20"/>
        <v>17.24137931</v>
      </c>
      <c r="K17" s="12">
        <f t="shared" si="5"/>
        <v>151.8</v>
      </c>
      <c r="L17" s="4">
        <f t="shared" si="6"/>
        <v>1.326923077</v>
      </c>
    </row>
    <row r="18">
      <c r="G18" s="11">
        <f t="shared" si="2"/>
        <v>0.02324726439</v>
      </c>
      <c r="H18" s="11">
        <f t="shared" si="3"/>
        <v>0.02604651163</v>
      </c>
      <c r="I18" s="12">
        <f t="shared" ref="I18:J18" si="21">IFERROR(D18/B18*1000,0)</f>
        <v>38.28770382</v>
      </c>
      <c r="J18" s="12">
        <f t="shared" si="21"/>
        <v>26.04651163</v>
      </c>
      <c r="K18" s="12">
        <f t="shared" si="5"/>
        <v>165.125</v>
      </c>
      <c r="L18" s="4">
        <f t="shared" si="6"/>
        <v>2.611409206</v>
      </c>
    </row>
    <row r="19">
      <c r="G19" s="11">
        <f t="shared" si="2"/>
        <v>0.02764642332</v>
      </c>
      <c r="H19" s="11">
        <f t="shared" si="3"/>
        <v>0.01409352979</v>
      </c>
      <c r="I19" s="12">
        <f t="shared" ref="I19:J19" si="22">IFERROR(D19/B19*1000,0)</f>
        <v>34.34107292</v>
      </c>
      <c r="J19" s="12">
        <f t="shared" si="22"/>
        <v>14.09352979</v>
      </c>
      <c r="K19" s="12">
        <f t="shared" si="5"/>
        <v>151.2727273</v>
      </c>
      <c r="L19" s="4">
        <f t="shared" si="6"/>
        <v>1.716348633</v>
      </c>
    </row>
    <row r="20">
      <c r="G20" s="11">
        <f t="shared" si="2"/>
        <v>0.01101865788</v>
      </c>
      <c r="H20" s="11">
        <f t="shared" si="3"/>
        <v>0.02448453608</v>
      </c>
      <c r="I20" s="12">
        <f t="shared" ref="I20:J20" si="23">IFERROR(D20/B20*1000,0)</f>
        <v>19.70863034</v>
      </c>
      <c r="J20" s="12">
        <f t="shared" si="23"/>
        <v>24.48453608</v>
      </c>
      <c r="K20" s="12">
        <f t="shared" si="5"/>
        <v>120.7894737</v>
      </c>
      <c r="L20" s="4">
        <f t="shared" si="6"/>
        <v>1.653458213</v>
      </c>
    </row>
    <row r="21">
      <c r="G21" s="11">
        <f t="shared" si="2"/>
        <v>0.01345145748</v>
      </c>
      <c r="H21" s="11">
        <f t="shared" si="3"/>
        <v>0.01785714286</v>
      </c>
      <c r="I21" s="12">
        <f t="shared" ref="I21:J21" si="24">IFERROR(D21/B21*1000,0)</f>
        <v>17.63384341</v>
      </c>
      <c r="J21" s="12">
        <f t="shared" si="24"/>
        <v>17.85714286</v>
      </c>
      <c r="K21" s="12">
        <f t="shared" si="5"/>
        <v>201</v>
      </c>
      <c r="L21" s="4">
        <f t="shared" si="6"/>
        <v>2.737980769</v>
      </c>
    </row>
    <row r="22">
      <c r="G22" s="11">
        <f t="shared" si="2"/>
        <v>0.02312671979</v>
      </c>
      <c r="H22" s="11">
        <f t="shared" si="3"/>
        <v>0.01856946355</v>
      </c>
      <c r="I22" s="12">
        <f t="shared" ref="I22:J22" si="25">IFERROR(D22/B22*1000,0)</f>
        <v>35.21496397</v>
      </c>
      <c r="J22" s="12">
        <f t="shared" si="25"/>
        <v>18.56946355</v>
      </c>
      <c r="K22" s="12">
        <f t="shared" si="5"/>
        <v>164.4074074</v>
      </c>
      <c r="L22" s="4">
        <f t="shared" si="6"/>
        <v>2.004968383</v>
      </c>
    </row>
    <row r="23">
      <c r="G23" s="11">
        <f t="shared" si="2"/>
        <v>0.01271868486</v>
      </c>
      <c r="H23" s="11">
        <f t="shared" si="3"/>
        <v>0.02074688797</v>
      </c>
      <c r="I23" s="12">
        <f t="shared" ref="I23:J23" si="26">IFERROR(D23/B23*1000,0)</f>
        <v>17.38923925</v>
      </c>
      <c r="J23" s="12">
        <f t="shared" si="26"/>
        <v>20.74688797</v>
      </c>
      <c r="K23" s="12">
        <f t="shared" si="5"/>
        <v>115.6</v>
      </c>
      <c r="L23" s="4">
        <f t="shared" si="6"/>
        <v>1.754172989</v>
      </c>
    </row>
    <row r="24">
      <c r="G24" s="11">
        <f t="shared" si="2"/>
        <v>0.01202590194</v>
      </c>
      <c r="H24" s="11">
        <f t="shared" si="3"/>
        <v>0.01923076923</v>
      </c>
      <c r="I24" s="12">
        <f t="shared" ref="I24:J24" si="27">IFERROR(D24/B24*1000,0)</f>
        <v>11.25501079</v>
      </c>
      <c r="J24" s="12">
        <f t="shared" si="27"/>
        <v>19.23076923</v>
      </c>
      <c r="K24" s="12">
        <f t="shared" si="5"/>
        <v>182</v>
      </c>
      <c r="L24" s="4">
        <f t="shared" si="6"/>
        <v>3.739726027</v>
      </c>
    </row>
    <row r="25">
      <c r="G25" s="11">
        <f t="shared" si="2"/>
        <v>0.01640613998</v>
      </c>
      <c r="H25" s="11">
        <f t="shared" si="3"/>
        <v>0.02060085837</v>
      </c>
      <c r="I25" s="12">
        <f t="shared" ref="I25:J25" si="28">IFERROR(D25/B25*1000,0)</f>
        <v>25.77101817</v>
      </c>
      <c r="J25" s="12">
        <f t="shared" si="28"/>
        <v>20.60085837</v>
      </c>
      <c r="K25" s="12">
        <f t="shared" si="5"/>
        <v>211.0833333</v>
      </c>
      <c r="L25" s="4">
        <f t="shared" si="6"/>
        <v>2.768306011</v>
      </c>
    </row>
    <row r="26">
      <c r="G26" s="11">
        <f t="shared" si="2"/>
        <v>0.03057516491</v>
      </c>
      <c r="H26" s="11">
        <f t="shared" si="3"/>
        <v>0.02043906132</v>
      </c>
      <c r="I26" s="12">
        <f t="shared" ref="I26:J26" si="29">IFERROR(D26/B26*1000,0)</f>
        <v>50.22566833</v>
      </c>
      <c r="J26" s="12">
        <f t="shared" si="29"/>
        <v>20.43906132</v>
      </c>
      <c r="K26" s="12">
        <f t="shared" si="5"/>
        <v>182.7407407</v>
      </c>
      <c r="L26" s="4">
        <f t="shared" si="6"/>
        <v>2.273732719</v>
      </c>
    </row>
    <row r="27">
      <c r="G27" s="11">
        <f t="shared" si="2"/>
        <v>0.01289424521</v>
      </c>
      <c r="H27" s="11">
        <f t="shared" si="3"/>
        <v>0.01704545455</v>
      </c>
      <c r="I27" s="12">
        <f t="shared" ref="I27:J27" si="30">IFERROR(D27/B27*1000,0)</f>
        <v>20.36704641</v>
      </c>
      <c r="J27" s="12">
        <f t="shared" si="30"/>
        <v>17.04545455</v>
      </c>
      <c r="K27" s="12">
        <f t="shared" si="5"/>
        <v>176.5</v>
      </c>
      <c r="L27" s="4">
        <f t="shared" si="6"/>
        <v>1.904676259</v>
      </c>
    </row>
    <row r="28">
      <c r="G28" s="11">
        <f t="shared" si="2"/>
        <v>0.01472708147</v>
      </c>
      <c r="H28" s="11">
        <f t="shared" si="3"/>
        <v>0.01851851852</v>
      </c>
      <c r="I28" s="12">
        <f t="shared" ref="I28:J28" si="31">IFERROR(D28/B28*1000,0)</f>
        <v>28.40222854</v>
      </c>
      <c r="J28" s="12">
        <f t="shared" si="31"/>
        <v>18.51851852</v>
      </c>
      <c r="K28" s="12">
        <f t="shared" si="5"/>
        <v>185.5714286</v>
      </c>
      <c r="L28" s="4">
        <f t="shared" si="6"/>
        <v>1.781893004</v>
      </c>
    </row>
    <row r="29">
      <c r="G29" s="11">
        <f t="shared" si="2"/>
        <v>0.009819517557</v>
      </c>
      <c r="H29" s="11">
        <f t="shared" si="3"/>
        <v>0.02503681885</v>
      </c>
      <c r="I29" s="12">
        <f t="shared" ref="I29:J29" si="32">IFERROR(D29/B29*1000,0)</f>
        <v>17.78793313</v>
      </c>
      <c r="J29" s="12">
        <f t="shared" si="32"/>
        <v>25.03681885</v>
      </c>
      <c r="K29" s="12">
        <f t="shared" si="5"/>
        <v>198.4117647</v>
      </c>
      <c r="L29" s="4">
        <f t="shared" si="6"/>
        <v>2.742276423</v>
      </c>
    </row>
    <row r="30">
      <c r="G30" s="11">
        <f t="shared" si="2"/>
        <v>0.02763036864</v>
      </c>
      <c r="H30" s="11">
        <f t="shared" si="3"/>
        <v>0.01536491677</v>
      </c>
      <c r="I30" s="12">
        <f t="shared" ref="I30:J30" si="33">IFERROR(D30/B30*1000,0)</f>
        <v>28.62095804</v>
      </c>
      <c r="J30" s="12">
        <f t="shared" si="33"/>
        <v>15.36491677</v>
      </c>
      <c r="K30" s="12">
        <f t="shared" si="5"/>
        <v>204.1666667</v>
      </c>
      <c r="L30" s="4">
        <f t="shared" si="6"/>
        <v>3.028430161</v>
      </c>
    </row>
    <row r="31">
      <c r="G31" s="11">
        <f t="shared" si="2"/>
        <v>0.02916771436</v>
      </c>
      <c r="H31" s="11">
        <f t="shared" si="3"/>
        <v>0.01867816092</v>
      </c>
      <c r="I31" s="12">
        <f t="shared" ref="I31:J31" si="34">IFERROR(D31/B31*1000,0)</f>
        <v>49.61864052</v>
      </c>
      <c r="J31" s="12">
        <f t="shared" si="34"/>
        <v>18.67816092</v>
      </c>
      <c r="K31" s="12">
        <f t="shared" si="5"/>
        <v>130.6153846</v>
      </c>
      <c r="L31" s="4">
        <f t="shared" si="6"/>
        <v>1.434121622</v>
      </c>
    </row>
    <row r="32">
      <c r="G32" s="11">
        <f t="shared" si="2"/>
        <v>0.01849660424</v>
      </c>
      <c r="H32" s="11">
        <f t="shared" si="3"/>
        <v>0.02225312935</v>
      </c>
      <c r="I32" s="12">
        <f t="shared" ref="I32:J32" si="35">IFERROR(D32/B32*1000,0)</f>
        <v>29.46851204</v>
      </c>
      <c r="J32" s="12">
        <f t="shared" si="35"/>
        <v>22.25312935</v>
      </c>
      <c r="K32" s="12">
        <f t="shared" si="5"/>
        <v>143.3125</v>
      </c>
      <c r="L32" s="4">
        <f t="shared" si="6"/>
        <v>2.001745962</v>
      </c>
    </row>
    <row r="33">
      <c r="G33" s="11">
        <f t="shared" si="2"/>
        <v>0.02608634439</v>
      </c>
      <c r="H33" s="11">
        <f t="shared" si="3"/>
        <v>0.02120277564</v>
      </c>
      <c r="I33" s="12">
        <f t="shared" ref="I33:J33" si="36">IFERROR(D33/B33*1000,0)</f>
        <v>28.67084343</v>
      </c>
      <c r="J33" s="12">
        <f t="shared" si="36"/>
        <v>21.20277564</v>
      </c>
      <c r="K33" s="12">
        <f t="shared" si="5"/>
        <v>133.3818182</v>
      </c>
      <c r="L33" s="4">
        <f t="shared" si="6"/>
        <v>2.573132234</v>
      </c>
    </row>
    <row r="34">
      <c r="G34" s="11">
        <f t="shared" si="2"/>
        <v>0.01404379761</v>
      </c>
      <c r="H34" s="11">
        <f t="shared" si="3"/>
        <v>0.01937046005</v>
      </c>
      <c r="I34" s="12">
        <f t="shared" ref="I34:J34" si="37">IFERROR(D34/B34*1000,0)</f>
        <v>23.42899891</v>
      </c>
      <c r="J34" s="12">
        <f t="shared" si="37"/>
        <v>19.37046005</v>
      </c>
      <c r="K34" s="12">
        <f t="shared" si="5"/>
        <v>176.25</v>
      </c>
      <c r="L34" s="4">
        <f t="shared" si="6"/>
        <v>2.046444122</v>
      </c>
    </row>
    <row r="35">
      <c r="G35" s="11">
        <f t="shared" si="2"/>
        <v>0.02406639004</v>
      </c>
      <c r="H35" s="11">
        <f t="shared" si="3"/>
        <v>0.02098950525</v>
      </c>
      <c r="I35" s="12">
        <f t="shared" ref="I35:J35" si="38">IFERROR(D35/B35*1000,0)</f>
        <v>25.00451019</v>
      </c>
      <c r="J35" s="12">
        <f t="shared" si="38"/>
        <v>20.98950525</v>
      </c>
      <c r="K35" s="12">
        <f t="shared" si="5"/>
        <v>164.7142857</v>
      </c>
      <c r="L35" s="4">
        <f t="shared" si="6"/>
        <v>3.327561328</v>
      </c>
    </row>
    <row r="36">
      <c r="G36" s="11">
        <f t="shared" si="2"/>
        <v>0.02597486304</v>
      </c>
      <c r="H36" s="11">
        <f t="shared" si="3"/>
        <v>0.01736972705</v>
      </c>
      <c r="I36" s="12">
        <f t="shared" ref="I36:J36" si="39">IFERROR(D36/B36*1000,0)</f>
        <v>31.19561714</v>
      </c>
      <c r="J36" s="12">
        <f t="shared" si="39"/>
        <v>17.36972705</v>
      </c>
      <c r="K36" s="12">
        <f t="shared" si="5"/>
        <v>149.8571429</v>
      </c>
      <c r="L36" s="4">
        <f t="shared" si="6"/>
        <v>2.167355372</v>
      </c>
    </row>
    <row r="37">
      <c r="G37" s="11">
        <f t="shared" si="2"/>
        <v>0.02955321571</v>
      </c>
      <c r="H37" s="11">
        <f t="shared" si="3"/>
        <v>0.01636976408</v>
      </c>
      <c r="I37" s="12">
        <f t="shared" ref="I37:J37" si="40">IFERROR(D37/B37*1000,0)</f>
        <v>56.41718839</v>
      </c>
      <c r="J37" s="12">
        <f t="shared" si="40"/>
        <v>16.36976408</v>
      </c>
      <c r="K37" s="12">
        <f t="shared" si="5"/>
        <v>207.4705882</v>
      </c>
      <c r="L37" s="4">
        <f t="shared" si="6"/>
        <v>1.779066835</v>
      </c>
    </row>
    <row r="38">
      <c r="G38" s="11">
        <f t="shared" si="2"/>
        <v>0.01137140903</v>
      </c>
      <c r="H38" s="11">
        <f t="shared" si="3"/>
        <v>0.02040816327</v>
      </c>
      <c r="I38" s="12">
        <f t="shared" ref="I38:J38" si="41">IFERROR(D38/B38*1000,0)</f>
        <v>18.51670901</v>
      </c>
      <c r="J38" s="12">
        <f t="shared" si="41"/>
        <v>20.40816327</v>
      </c>
      <c r="K38" s="12">
        <f t="shared" si="5"/>
        <v>123.1052632</v>
      </c>
      <c r="L38" s="4">
        <f t="shared" si="6"/>
        <v>1.542875989</v>
      </c>
    </row>
    <row r="39">
      <c r="G39" s="11">
        <f t="shared" si="2"/>
        <v>0.02707723347</v>
      </c>
      <c r="H39" s="11">
        <f t="shared" si="3"/>
        <v>0.01681054066</v>
      </c>
      <c r="I39" s="12">
        <f t="shared" ref="I39:J39" si="42">IFERROR(D39/B39*1000,0)</f>
        <v>42.97172945</v>
      </c>
      <c r="J39" s="12">
        <f t="shared" si="42"/>
        <v>16.81054066</v>
      </c>
      <c r="K39" s="12">
        <f t="shared" si="5"/>
        <v>176.8378378</v>
      </c>
      <c r="L39" s="4">
        <f t="shared" si="6"/>
        <v>1.873174921</v>
      </c>
    </row>
    <row r="40">
      <c r="G40" s="11">
        <f t="shared" si="2"/>
        <v>0.01174356671</v>
      </c>
      <c r="H40" s="11">
        <f t="shared" si="3"/>
        <v>0.01857923497</v>
      </c>
      <c r="I40" s="12">
        <f t="shared" ref="I40:J40" si="43">IFERROR(D40/B40*1000,0)</f>
        <v>11.8590772</v>
      </c>
      <c r="J40" s="12">
        <f t="shared" si="43"/>
        <v>18.57923497</v>
      </c>
      <c r="K40" s="12">
        <f t="shared" si="5"/>
        <v>184.7647059</v>
      </c>
      <c r="L40" s="4">
        <f t="shared" si="6"/>
        <v>3.399350649</v>
      </c>
    </row>
    <row r="41">
      <c r="G41" s="11">
        <f t="shared" si="2"/>
        <v>0.02809788728</v>
      </c>
      <c r="H41" s="11">
        <f t="shared" si="3"/>
        <v>0.01178550383</v>
      </c>
      <c r="I41" s="12">
        <f t="shared" ref="I41:J41" si="44">IFERROR(D41/B41*1000,0)</f>
        <v>54.3579045</v>
      </c>
      <c r="J41" s="12">
        <f t="shared" si="44"/>
        <v>11.78550383</v>
      </c>
      <c r="K41" s="12">
        <f t="shared" si="5"/>
        <v>131.35</v>
      </c>
      <c r="L41" s="4">
        <f t="shared" si="6"/>
        <v>0.8001827597</v>
      </c>
    </row>
    <row r="42">
      <c r="G42" s="11">
        <f t="shared" si="2"/>
        <v>0.02635455508</v>
      </c>
      <c r="H42" s="11">
        <f t="shared" si="3"/>
        <v>0.02620087336</v>
      </c>
      <c r="I42" s="12">
        <f t="shared" ref="I42:J42" si="45">IFERROR(D42/B42*1000,0)</f>
        <v>30.06030475</v>
      </c>
      <c r="J42" s="12">
        <f t="shared" si="45"/>
        <v>26.20087336</v>
      </c>
      <c r="K42" s="12">
        <f t="shared" si="5"/>
        <v>199.2333333</v>
      </c>
      <c r="L42" s="4">
        <f t="shared" si="6"/>
        <v>4.576569678</v>
      </c>
    </row>
    <row r="43">
      <c r="G43" s="11">
        <f t="shared" si="2"/>
        <v>0.02693569368</v>
      </c>
      <c r="H43" s="11">
        <f t="shared" si="3"/>
        <v>0.01312335958</v>
      </c>
      <c r="I43" s="12">
        <f t="shared" ref="I43:J43" si="46">IFERROR(D43/B43*1000,0)</f>
        <v>31.46032464</v>
      </c>
      <c r="J43" s="12">
        <f t="shared" si="46"/>
        <v>13.12335958</v>
      </c>
      <c r="K43" s="12">
        <f t="shared" si="5"/>
        <v>213.16</v>
      </c>
      <c r="L43" s="4">
        <f t="shared" si="6"/>
        <v>2.39505618</v>
      </c>
    </row>
    <row r="44">
      <c r="G44" s="11">
        <f t="shared" si="2"/>
        <v>0.01958830563</v>
      </c>
      <c r="H44" s="11">
        <f t="shared" si="3"/>
        <v>0.01555954518</v>
      </c>
      <c r="I44" s="12">
        <f t="shared" ref="I44:J44" si="47">IFERROR(D44/B44*1000,0)</f>
        <v>19.271798</v>
      </c>
      <c r="J44" s="12">
        <f t="shared" si="47"/>
        <v>15.55954518</v>
      </c>
      <c r="K44" s="12">
        <f t="shared" si="5"/>
        <v>182.1538462</v>
      </c>
      <c r="L44" s="4">
        <f t="shared" si="6"/>
        <v>2.880778589</v>
      </c>
    </row>
    <row r="45">
      <c r="G45" s="11">
        <f t="shared" si="2"/>
        <v>0.02248326386</v>
      </c>
      <c r="H45" s="11">
        <f t="shared" si="3"/>
        <v>0.02059925094</v>
      </c>
      <c r="I45" s="12">
        <f t="shared" ref="I45:J45" si="48">IFERROR(D45/B45*1000,0)</f>
        <v>31.32499684</v>
      </c>
      <c r="J45" s="12">
        <f t="shared" si="48"/>
        <v>20.59925094</v>
      </c>
      <c r="K45" s="12">
        <f t="shared" si="5"/>
        <v>165.3636364</v>
      </c>
      <c r="L45" s="4">
        <f t="shared" si="6"/>
        <v>2.444892473</v>
      </c>
    </row>
    <row r="46">
      <c r="G46" s="11">
        <f t="shared" si="2"/>
        <v>0.02352884337</v>
      </c>
      <c r="H46" s="11">
        <f t="shared" si="3"/>
        <v>0.01899383984</v>
      </c>
      <c r="I46" s="12">
        <f t="shared" ref="I46:J46" si="49">IFERROR(D46/B46*1000,0)</f>
        <v>30.75176346</v>
      </c>
      <c r="J46" s="12">
        <f t="shared" si="49"/>
        <v>18.99383984</v>
      </c>
      <c r="K46" s="12">
        <f t="shared" si="5"/>
        <v>182.6486486</v>
      </c>
      <c r="L46" s="4">
        <f t="shared" si="6"/>
        <v>2.65435978</v>
      </c>
    </row>
    <row r="47">
      <c r="G47" s="11">
        <f t="shared" si="2"/>
        <v>0.0276971737</v>
      </c>
      <c r="H47" s="11">
        <f t="shared" si="3"/>
        <v>0.01204819277</v>
      </c>
      <c r="I47" s="12">
        <f t="shared" ref="I47:J47" si="50">IFERROR(D47/B47*1000,0)</f>
        <v>48.87992572</v>
      </c>
      <c r="J47" s="12">
        <f t="shared" si="50"/>
        <v>12.04819277</v>
      </c>
      <c r="K47" s="12">
        <f t="shared" si="5"/>
        <v>199.3913043</v>
      </c>
      <c r="L47" s="4">
        <f t="shared" si="6"/>
        <v>1.361234788</v>
      </c>
    </row>
    <row r="48">
      <c r="G48" s="11">
        <f t="shared" si="2"/>
        <v>0.01438426538</v>
      </c>
      <c r="H48" s="11">
        <f t="shared" si="3"/>
        <v>0.02040816327</v>
      </c>
      <c r="I48" s="12">
        <f t="shared" ref="I48:J48" si="51">IFERROR(D48/B48*1000,0)</f>
        <v>27.30074857</v>
      </c>
      <c r="J48" s="12">
        <f t="shared" si="51"/>
        <v>20.40816327</v>
      </c>
      <c r="K48" s="12">
        <f t="shared" si="5"/>
        <v>194</v>
      </c>
      <c r="L48" s="4">
        <f t="shared" si="6"/>
        <v>2.086021505</v>
      </c>
    </row>
    <row r="49">
      <c r="G49" s="11">
        <f t="shared" si="2"/>
        <v>0.01631701632</v>
      </c>
      <c r="H49" s="11">
        <f t="shared" si="3"/>
        <v>0.01714285714</v>
      </c>
      <c r="I49" s="12">
        <f t="shared" ref="I49:J49" si="52">IFERROR(D49/B49*1000,0)</f>
        <v>33.47319347</v>
      </c>
      <c r="J49" s="12">
        <f t="shared" si="52"/>
        <v>17.14285714</v>
      </c>
      <c r="K49" s="12">
        <f t="shared" si="5"/>
        <v>249.6666667</v>
      </c>
      <c r="L49" s="4">
        <f t="shared" si="6"/>
        <v>2.086350975</v>
      </c>
    </row>
    <row r="50">
      <c r="G50" s="11">
        <f t="shared" si="2"/>
        <v>0.01352794589</v>
      </c>
      <c r="H50" s="11">
        <f t="shared" si="3"/>
        <v>0.01315789474</v>
      </c>
      <c r="I50" s="12">
        <f t="shared" ref="I50:J50" si="53">IFERROR(D50/B50*1000,0)</f>
        <v>28.75677386</v>
      </c>
      <c r="J50" s="12">
        <f t="shared" si="53"/>
        <v>13.15789474</v>
      </c>
      <c r="K50" s="12">
        <f t="shared" si="5"/>
        <v>191</v>
      </c>
      <c r="L50" s="4">
        <f t="shared" si="6"/>
        <v>1.182255846</v>
      </c>
    </row>
    <row r="51">
      <c r="G51" s="11">
        <f t="shared" si="2"/>
        <v>0.02318133848</v>
      </c>
      <c r="H51" s="11">
        <f t="shared" si="3"/>
        <v>0.01883830455</v>
      </c>
      <c r="I51" s="12">
        <f t="shared" ref="I51:J51" si="54">IFERROR(D51/B51*1000,0)</f>
        <v>45.38010845</v>
      </c>
      <c r="J51" s="12">
        <f t="shared" si="54"/>
        <v>18.83830455</v>
      </c>
      <c r="K51" s="12">
        <f t="shared" si="5"/>
        <v>121</v>
      </c>
      <c r="L51" s="4">
        <f t="shared" si="6"/>
        <v>1.164394547</v>
      </c>
    </row>
    <row r="52">
      <c r="G52" s="11">
        <f t="shared" si="2"/>
        <v>0.01564980421</v>
      </c>
      <c r="H52" s="11">
        <f t="shared" si="3"/>
        <v>0.02366863905</v>
      </c>
      <c r="I52" s="12">
        <f t="shared" ref="I52:J52" si="55">IFERROR(D52/B52*1000,0)</f>
        <v>29.22266907</v>
      </c>
      <c r="J52" s="12">
        <f t="shared" si="55"/>
        <v>23.66863905</v>
      </c>
      <c r="K52" s="12">
        <f t="shared" si="5"/>
        <v>164.0714286</v>
      </c>
      <c r="L52" s="4">
        <f t="shared" si="6"/>
        <v>2.079674061</v>
      </c>
    </row>
    <row r="53">
      <c r="G53" s="11">
        <f t="shared" si="2"/>
        <v>0.01059870726</v>
      </c>
      <c r="H53" s="11">
        <f t="shared" si="3"/>
        <v>0.01334702259</v>
      </c>
      <c r="I53" s="12">
        <f t="shared" ref="I53:J53" si="56">IFERROR(D53/B53*1000,0)</f>
        <v>18.58582341</v>
      </c>
      <c r="J53" s="12">
        <f t="shared" si="56"/>
        <v>13.34702259</v>
      </c>
      <c r="K53" s="12">
        <f t="shared" si="5"/>
        <v>118.5384615</v>
      </c>
      <c r="L53" s="4">
        <f t="shared" si="6"/>
        <v>0.9022248244</v>
      </c>
    </row>
    <row r="54">
      <c r="G54" s="11">
        <f t="shared" si="2"/>
        <v>0.01342075441</v>
      </c>
      <c r="H54" s="11">
        <f t="shared" si="3"/>
        <v>0.01809408926</v>
      </c>
      <c r="I54" s="12">
        <f t="shared" ref="I54:J54" si="57">IFERROR(D54/B54*1000,0)</f>
        <v>26.64723976</v>
      </c>
      <c r="J54" s="12">
        <f t="shared" si="57"/>
        <v>18.09408926</v>
      </c>
      <c r="K54" s="12">
        <f t="shared" si="5"/>
        <v>152.3333333</v>
      </c>
      <c r="L54" s="4">
        <f t="shared" si="6"/>
        <v>1.388213852</v>
      </c>
    </row>
    <row r="55">
      <c r="G55" s="11">
        <f t="shared" si="2"/>
        <v>0.01144830093</v>
      </c>
      <c r="H55" s="11">
        <f t="shared" si="3"/>
        <v>0.02328042328</v>
      </c>
      <c r="I55" s="12">
        <f t="shared" ref="I55:J55" si="58">IFERROR(D55/B55*1000,0)</f>
        <v>19.69834636</v>
      </c>
      <c r="J55" s="12">
        <f t="shared" si="58"/>
        <v>23.28042328</v>
      </c>
      <c r="K55" s="12">
        <f t="shared" si="5"/>
        <v>205</v>
      </c>
      <c r="L55" s="4">
        <f t="shared" si="6"/>
        <v>2.773677737</v>
      </c>
    </row>
    <row r="56">
      <c r="G56" s="11">
        <f t="shared" si="2"/>
        <v>0.0265897994</v>
      </c>
      <c r="H56" s="11">
        <f t="shared" si="3"/>
        <v>0.01327433628</v>
      </c>
      <c r="I56" s="12">
        <f t="shared" ref="I56:J56" si="59">IFERROR(D56/B56*1000,0)</f>
        <v>33.88434614</v>
      </c>
      <c r="J56" s="12">
        <f t="shared" si="59"/>
        <v>13.27433628</v>
      </c>
      <c r="K56" s="12">
        <f t="shared" si="5"/>
        <v>118.5</v>
      </c>
      <c r="L56" s="4">
        <f t="shared" si="6"/>
        <v>1.234375</v>
      </c>
    </row>
    <row r="57">
      <c r="G57" s="11">
        <f t="shared" si="2"/>
        <v>0.01327014218</v>
      </c>
      <c r="H57" s="11">
        <f t="shared" si="3"/>
        <v>0.0184729064</v>
      </c>
      <c r="I57" s="12">
        <f t="shared" ref="I57:J57" si="60">IFERROR(D57/B57*1000,0)</f>
        <v>16.57133519</v>
      </c>
      <c r="J57" s="12">
        <f t="shared" si="60"/>
        <v>18.4729064</v>
      </c>
      <c r="K57" s="12">
        <f t="shared" si="5"/>
        <v>122.4</v>
      </c>
      <c r="L57" s="4">
        <f t="shared" si="6"/>
        <v>1.810650888</v>
      </c>
    </row>
    <row r="58">
      <c r="G58" s="11">
        <f t="shared" si="2"/>
        <v>0.02438805199</v>
      </c>
      <c r="H58" s="11">
        <f t="shared" si="3"/>
        <v>0.0170428374</v>
      </c>
      <c r="I58" s="12">
        <f t="shared" ref="I58:J58" si="61">IFERROR(D58/B58*1000,0)</f>
        <v>35.21720082</v>
      </c>
      <c r="J58" s="12">
        <f t="shared" si="61"/>
        <v>17.0428374</v>
      </c>
      <c r="K58" s="12">
        <f t="shared" si="5"/>
        <v>162.2972973</v>
      </c>
      <c r="L58" s="4">
        <f t="shared" si="6"/>
        <v>1.915470494</v>
      </c>
    </row>
    <row r="59">
      <c r="G59" s="11">
        <f t="shared" si="2"/>
        <v>0.0300276851</v>
      </c>
      <c r="H59" s="11">
        <f t="shared" si="3"/>
        <v>0.0133963751</v>
      </c>
      <c r="I59" s="12">
        <f t="shared" ref="I59:J59" si="62">IFERROR(D59/B59*1000,0)</f>
        <v>48.65005561</v>
      </c>
      <c r="J59" s="12">
        <f t="shared" si="62"/>
        <v>13.3963751</v>
      </c>
      <c r="K59" s="12">
        <f t="shared" si="5"/>
        <v>190.2941176</v>
      </c>
      <c r="L59" s="4">
        <f t="shared" si="6"/>
        <v>1.57344358</v>
      </c>
    </row>
    <row r="60">
      <c r="G60" s="11">
        <f t="shared" si="2"/>
        <v>0.01123518998</v>
      </c>
      <c r="H60" s="11">
        <f t="shared" si="3"/>
        <v>0.01212121212</v>
      </c>
      <c r="I60" s="12">
        <f t="shared" ref="I60:J60" si="63">IFERROR(D60/B60*1000,0)</f>
        <v>18.52104045</v>
      </c>
      <c r="J60" s="12">
        <f t="shared" si="63"/>
        <v>12.12121212</v>
      </c>
      <c r="K60" s="12">
        <f t="shared" si="5"/>
        <v>172</v>
      </c>
      <c r="L60" s="4">
        <f t="shared" si="6"/>
        <v>1.264705882</v>
      </c>
    </row>
    <row r="61">
      <c r="G61" s="11">
        <f t="shared" si="2"/>
        <v>0.01656008078</v>
      </c>
      <c r="H61" s="11">
        <f t="shared" si="3"/>
        <v>0.02520325203</v>
      </c>
      <c r="I61" s="12">
        <f t="shared" ref="I61:J61" si="64">IFERROR(D61/B61*1000,0)</f>
        <v>21.38000673</v>
      </c>
      <c r="J61" s="12">
        <f t="shared" si="64"/>
        <v>25.20325203</v>
      </c>
      <c r="K61" s="12">
        <f t="shared" si="5"/>
        <v>130.2258065</v>
      </c>
      <c r="L61" s="4">
        <f t="shared" si="6"/>
        <v>2.542191436</v>
      </c>
    </row>
    <row r="62">
      <c r="G62" s="11">
        <f t="shared" si="2"/>
        <v>0.03245095559</v>
      </c>
      <c r="H62" s="11">
        <f t="shared" si="3"/>
        <v>0.01700921332</v>
      </c>
      <c r="I62" s="12">
        <f t="shared" ref="I62:J62" si="65">IFERROR(D62/B62*1000,0)</f>
        <v>49.44688485</v>
      </c>
      <c r="J62" s="12">
        <f t="shared" si="65"/>
        <v>17.00921332</v>
      </c>
      <c r="K62" s="12">
        <f t="shared" si="5"/>
        <v>143.25</v>
      </c>
      <c r="L62" s="4">
        <f t="shared" si="6"/>
        <v>1.599069767</v>
      </c>
    </row>
    <row r="63">
      <c r="G63" s="11">
        <f t="shared" si="2"/>
        <v>0.02559422574</v>
      </c>
      <c r="H63" s="11">
        <f t="shared" si="3"/>
        <v>0.0226904376</v>
      </c>
      <c r="I63" s="12">
        <f t="shared" ref="I63:J63" si="66">IFERROR(D63/B63*1000,0)</f>
        <v>27.58534865</v>
      </c>
      <c r="J63" s="12">
        <f t="shared" si="66"/>
        <v>22.6904376</v>
      </c>
      <c r="K63" s="12">
        <f t="shared" si="5"/>
        <v>192</v>
      </c>
      <c r="L63" s="4">
        <f t="shared" si="6"/>
        <v>4.042105263</v>
      </c>
    </row>
    <row r="64">
      <c r="G64" s="11">
        <f t="shared" si="2"/>
        <v>0.01484171695</v>
      </c>
      <c r="H64" s="11">
        <f t="shared" si="3"/>
        <v>0.01734104046</v>
      </c>
      <c r="I64" s="12">
        <f t="shared" ref="I64:J64" si="67">IFERROR(D64/B64*1000,0)</f>
        <v>24.62180789</v>
      </c>
      <c r="J64" s="12">
        <f t="shared" si="67"/>
        <v>17.34104046</v>
      </c>
      <c r="K64" s="12">
        <f t="shared" si="5"/>
        <v>228.6666667</v>
      </c>
      <c r="L64" s="4">
        <f t="shared" si="6"/>
        <v>2.390243902</v>
      </c>
    </row>
    <row r="65">
      <c r="G65" s="11">
        <f t="shared" si="2"/>
        <v>0.02385682358</v>
      </c>
      <c r="H65" s="11">
        <f t="shared" si="3"/>
        <v>0.02304832714</v>
      </c>
      <c r="I65" s="12">
        <f t="shared" ref="I65:J65" si="68">IFERROR(D65/B65*1000,0)</f>
        <v>41.96672461</v>
      </c>
      <c r="J65" s="12">
        <f t="shared" si="68"/>
        <v>23.04832714</v>
      </c>
      <c r="K65" s="12">
        <f t="shared" si="5"/>
        <v>109.2580645</v>
      </c>
      <c r="L65" s="4">
        <f t="shared" si="6"/>
        <v>1.431530008</v>
      </c>
    </row>
    <row r="66">
      <c r="G66" s="11">
        <f t="shared" si="2"/>
        <v>0.02405107574</v>
      </c>
      <c r="H66" s="11">
        <f t="shared" si="3"/>
        <v>0.01381818182</v>
      </c>
      <c r="I66" s="12">
        <f t="shared" ref="I66:J66" si="69">IFERROR(D66/B66*1000,0)</f>
        <v>29.87580899</v>
      </c>
      <c r="J66" s="12">
        <f t="shared" si="69"/>
        <v>13.81818182</v>
      </c>
      <c r="K66" s="12">
        <f t="shared" si="5"/>
        <v>221.2631579</v>
      </c>
      <c r="L66" s="4">
        <f t="shared" si="6"/>
        <v>2.461358314</v>
      </c>
    </row>
    <row r="67">
      <c r="G67" s="11">
        <f t="shared" si="2"/>
        <v>0.02202183553</v>
      </c>
      <c r="H67" s="11">
        <f t="shared" si="3"/>
        <v>0.01861252115</v>
      </c>
      <c r="I67" s="12">
        <f t="shared" ref="I67:J67" si="70">IFERROR(D67/B67*1000,0)</f>
        <v>22.02183553</v>
      </c>
      <c r="J67" s="12">
        <f t="shared" si="70"/>
        <v>18.61252115</v>
      </c>
      <c r="K67" s="12">
        <f t="shared" si="5"/>
        <v>94.63636364</v>
      </c>
      <c r="L67" s="4">
        <f t="shared" si="6"/>
        <v>1.76142132</v>
      </c>
    </row>
    <row r="68">
      <c r="G68" s="11">
        <f t="shared" si="2"/>
        <v>0.02211383306</v>
      </c>
      <c r="H68" s="11">
        <f t="shared" si="3"/>
        <v>0.02432283029</v>
      </c>
      <c r="I68" s="12">
        <f t="shared" ref="I68:J68" si="71">IFERROR(D68/B68*1000,0)</f>
        <v>25.25548873</v>
      </c>
      <c r="J68" s="12">
        <f t="shared" si="71"/>
        <v>24.32283029</v>
      </c>
      <c r="K68" s="12">
        <f t="shared" si="5"/>
        <v>114.75</v>
      </c>
      <c r="L68" s="4">
        <f t="shared" si="6"/>
        <v>2.443852856</v>
      </c>
    </row>
    <row r="69">
      <c r="G69" s="11">
        <f t="shared" si="2"/>
        <v>0.03129935391</v>
      </c>
      <c r="H69" s="11">
        <f t="shared" si="3"/>
        <v>0.02064220183</v>
      </c>
      <c r="I69" s="12">
        <f t="shared" ref="I69:J69" si="72">IFERROR(D69/B69*1000,0)</f>
        <v>36.35319454</v>
      </c>
      <c r="J69" s="12">
        <f t="shared" si="72"/>
        <v>20.64220183</v>
      </c>
      <c r="K69" s="12">
        <f t="shared" si="5"/>
        <v>164.2</v>
      </c>
      <c r="L69" s="4">
        <f t="shared" si="6"/>
        <v>2.918246445</v>
      </c>
    </row>
    <row r="70">
      <c r="G70" s="11">
        <f t="shared" si="2"/>
        <v>0.02190286064</v>
      </c>
      <c r="H70" s="11">
        <f t="shared" si="3"/>
        <v>0.02123252201</v>
      </c>
      <c r="I70" s="12">
        <f t="shared" ref="I70:J70" si="73">IFERROR(D70/B70*1000,0)</f>
        <v>34.85628729</v>
      </c>
      <c r="J70" s="12">
        <f t="shared" si="73"/>
        <v>21.23252201</v>
      </c>
      <c r="K70" s="12">
        <f t="shared" si="5"/>
        <v>172.9512195</v>
      </c>
      <c r="L70" s="4">
        <f t="shared" si="6"/>
        <v>2.307517084</v>
      </c>
    </row>
    <row r="71">
      <c r="G71" s="11">
        <f t="shared" si="2"/>
        <v>0.02081742328</v>
      </c>
      <c r="H71" s="11">
        <f t="shared" si="3"/>
        <v>0.01222826087</v>
      </c>
      <c r="I71" s="12">
        <f t="shared" ref="I71:J71" si="74">IFERROR(D71/B71*1000,0)</f>
        <v>27.09659171</v>
      </c>
      <c r="J71" s="12">
        <f t="shared" si="74"/>
        <v>12.22826087</v>
      </c>
      <c r="K71" s="12">
        <f t="shared" si="5"/>
        <v>190.3333333</v>
      </c>
      <c r="L71" s="4">
        <f t="shared" si="6"/>
        <v>1.788100209</v>
      </c>
    </row>
    <row r="72">
      <c r="G72" s="11">
        <f t="shared" si="2"/>
        <v>0.01570639919</v>
      </c>
      <c r="H72" s="11">
        <f t="shared" si="3"/>
        <v>0.01768033946</v>
      </c>
      <c r="I72" s="12">
        <f t="shared" ref="I72:J72" si="75">IFERROR(D72/B72*1000,0)</f>
        <v>22.98199429</v>
      </c>
      <c r="J72" s="12">
        <f t="shared" si="75"/>
        <v>17.68033946</v>
      </c>
      <c r="K72" s="12">
        <f t="shared" si="5"/>
        <v>208.68</v>
      </c>
      <c r="L72" s="4">
        <f t="shared" si="6"/>
        <v>2.521507975</v>
      </c>
    </row>
    <row r="73">
      <c r="G73" s="11">
        <f t="shared" si="2"/>
        <v>0.0187144662</v>
      </c>
      <c r="H73" s="11">
        <f t="shared" si="3"/>
        <v>0.02109704641</v>
      </c>
      <c r="I73" s="12">
        <f t="shared" ref="I73:J73" si="76">IFERROR(D73/B73*1000,0)</f>
        <v>28.1111813</v>
      </c>
      <c r="J73" s="12">
        <f t="shared" si="76"/>
        <v>21.09704641</v>
      </c>
      <c r="K73" s="12">
        <f t="shared" si="5"/>
        <v>139.2</v>
      </c>
      <c r="L73" s="4">
        <f t="shared" si="6"/>
        <v>1.95505618</v>
      </c>
    </row>
    <row r="74">
      <c r="G74" s="11">
        <f t="shared" si="2"/>
        <v>0.01112084653</v>
      </c>
      <c r="H74" s="11">
        <f t="shared" si="3"/>
        <v>0.01060606061</v>
      </c>
      <c r="I74" s="12">
        <f t="shared" ref="I74:J74" si="77">IFERROR(D74/B74*1000,0)</f>
        <v>17.75965492</v>
      </c>
      <c r="J74" s="12">
        <f t="shared" si="77"/>
        <v>10.60606061</v>
      </c>
      <c r="K74" s="12">
        <f t="shared" si="5"/>
        <v>136.8571429</v>
      </c>
      <c r="L74" s="4">
        <f t="shared" si="6"/>
        <v>0.9089184061</v>
      </c>
    </row>
    <row r="75">
      <c r="G75" s="11">
        <f t="shared" si="2"/>
        <v>0.01326401114</v>
      </c>
      <c r="H75" s="11">
        <f t="shared" si="3"/>
        <v>0.01543209877</v>
      </c>
      <c r="I75" s="12">
        <f t="shared" ref="I75:J75" si="78">IFERROR(D75/B75*1000,0)</f>
        <v>14.32840709</v>
      </c>
      <c r="J75" s="12">
        <f t="shared" si="78"/>
        <v>15.43209877</v>
      </c>
      <c r="K75" s="12">
        <f t="shared" si="5"/>
        <v>190.2</v>
      </c>
      <c r="L75" s="4">
        <f t="shared" si="6"/>
        <v>2.717142857</v>
      </c>
    </row>
    <row r="76">
      <c r="G76" s="11">
        <f t="shared" si="2"/>
        <v>0.0214456596</v>
      </c>
      <c r="H76" s="11">
        <f t="shared" si="3"/>
        <v>0.01792828685</v>
      </c>
      <c r="I76" s="12">
        <f t="shared" ref="I76:J76" si="79">IFERROR(D76/B76*1000,0)</f>
        <v>35.54340396</v>
      </c>
      <c r="J76" s="12">
        <f t="shared" si="79"/>
        <v>17.92828685</v>
      </c>
      <c r="K76" s="12">
        <f t="shared" si="5"/>
        <v>109</v>
      </c>
      <c r="L76" s="4">
        <f t="shared" si="6"/>
        <v>1.179086538</v>
      </c>
    </row>
    <row r="77">
      <c r="G77" s="11">
        <f t="shared" si="2"/>
        <v>0.03150416967</v>
      </c>
      <c r="H77" s="11">
        <f t="shared" si="3"/>
        <v>0.02549019608</v>
      </c>
      <c r="I77" s="12">
        <f t="shared" ref="I77:J77" si="80">IFERROR(D77/B77*1000,0)</f>
        <v>55.10141048</v>
      </c>
      <c r="J77" s="12">
        <f t="shared" si="80"/>
        <v>25.49019608</v>
      </c>
      <c r="K77" s="12">
        <f t="shared" si="5"/>
        <v>175.0512821</v>
      </c>
      <c r="L77" s="4">
        <f t="shared" si="6"/>
        <v>2.551195815</v>
      </c>
    </row>
    <row r="78">
      <c r="G78" s="11">
        <f t="shared" si="2"/>
        <v>0.01745728537</v>
      </c>
      <c r="H78" s="11">
        <f t="shared" si="3"/>
        <v>0.01367781155</v>
      </c>
      <c r="I78" s="12">
        <f t="shared" ref="I78:J78" si="81">IFERROR(D78/B78*1000,0)</f>
        <v>25.09816407</v>
      </c>
      <c r="J78" s="12">
        <f t="shared" si="81"/>
        <v>13.67781155</v>
      </c>
      <c r="K78" s="12">
        <f t="shared" si="5"/>
        <v>107.6666667</v>
      </c>
      <c r="L78" s="4">
        <f t="shared" si="6"/>
        <v>1.024312896</v>
      </c>
    </row>
    <row r="79">
      <c r="G79" s="11">
        <f t="shared" si="2"/>
        <v>0.02031010394</v>
      </c>
      <c r="H79" s="11">
        <f t="shared" si="3"/>
        <v>0.02013422819</v>
      </c>
      <c r="I79" s="12">
        <f t="shared" ref="I79:J79" si="82">IFERROR(D79/B79*1000,0)</f>
        <v>28.72721077</v>
      </c>
      <c r="J79" s="12">
        <f t="shared" si="82"/>
        <v>20.13422819</v>
      </c>
      <c r="K79" s="12">
        <f t="shared" si="5"/>
        <v>195.75</v>
      </c>
      <c r="L79" s="4">
        <f t="shared" si="6"/>
        <v>2.786476868</v>
      </c>
    </row>
    <row r="80">
      <c r="G80" s="11">
        <f t="shared" si="2"/>
        <v>0.01021659647</v>
      </c>
      <c r="H80" s="11">
        <f t="shared" si="3"/>
        <v>0.02718006795</v>
      </c>
      <c r="I80" s="12">
        <f t="shared" ref="I80:J80" si="83">IFERROR(D80/B80*1000,0)</f>
        <v>17.34391632</v>
      </c>
      <c r="J80" s="12">
        <f t="shared" si="83"/>
        <v>27.18006795</v>
      </c>
      <c r="K80" s="12">
        <f t="shared" si="5"/>
        <v>155.9166667</v>
      </c>
      <c r="L80" s="4">
        <f t="shared" si="6"/>
        <v>2.496330887</v>
      </c>
    </row>
    <row r="81">
      <c r="G81" s="11">
        <f t="shared" si="2"/>
        <v>0.02565771444</v>
      </c>
      <c r="H81" s="11">
        <f t="shared" si="3"/>
        <v>0.02002670227</v>
      </c>
      <c r="I81" s="12">
        <f t="shared" ref="I81:J81" si="84">IFERROR(D81/B81*1000,0)</f>
        <v>44.77254042</v>
      </c>
      <c r="J81" s="12">
        <f t="shared" si="84"/>
        <v>20.02670227</v>
      </c>
      <c r="K81" s="12">
        <f t="shared" si="5"/>
        <v>108.2666667</v>
      </c>
      <c r="L81" s="4">
        <f t="shared" si="6"/>
        <v>1.242540168</v>
      </c>
    </row>
    <row r="82">
      <c r="G82" s="11">
        <f t="shared" si="2"/>
        <v>0.02736402618</v>
      </c>
      <c r="H82" s="11">
        <f t="shared" si="3"/>
        <v>0.01443298969</v>
      </c>
      <c r="I82" s="12">
        <f t="shared" ref="I82:J82" si="85">IFERROR(D82/B82*1000,0)</f>
        <v>31.00315956</v>
      </c>
      <c r="J82" s="12">
        <f t="shared" si="85"/>
        <v>14.43298969</v>
      </c>
      <c r="K82" s="12">
        <f t="shared" si="5"/>
        <v>158.7142857</v>
      </c>
      <c r="L82" s="4">
        <f t="shared" si="6"/>
        <v>2.021838035</v>
      </c>
    </row>
    <row r="83">
      <c r="G83" s="11">
        <f t="shared" si="2"/>
        <v>0.01709175159</v>
      </c>
      <c r="H83" s="11">
        <f t="shared" si="3"/>
        <v>0.01608271109</v>
      </c>
      <c r="I83" s="12">
        <f t="shared" ref="I83:J83" si="86">IFERROR(D83/B83*1000,0)</f>
        <v>21.1560739</v>
      </c>
      <c r="J83" s="12">
        <f t="shared" si="86"/>
        <v>16.08271109</v>
      </c>
      <c r="K83" s="12">
        <f t="shared" si="5"/>
        <v>131.7142857</v>
      </c>
      <c r="L83" s="4">
        <f t="shared" si="6"/>
        <v>1.71136891</v>
      </c>
    </row>
    <row r="84">
      <c r="G84" s="11">
        <f t="shared" si="2"/>
        <v>0.01303088803</v>
      </c>
      <c r="H84" s="11">
        <f t="shared" si="3"/>
        <v>0.007407407407</v>
      </c>
      <c r="I84" s="12">
        <f t="shared" ref="I84:J84" si="87">IFERROR(D84/B84*1000,0)</f>
        <v>17.66409266</v>
      </c>
      <c r="J84" s="12">
        <f t="shared" si="87"/>
        <v>7.407407407</v>
      </c>
      <c r="K84" s="12">
        <f t="shared" si="5"/>
        <v>204</v>
      </c>
      <c r="L84" s="4">
        <f t="shared" si="6"/>
        <v>1.114754098</v>
      </c>
    </row>
    <row r="85">
      <c r="G85" s="11">
        <f t="shared" si="2"/>
        <v>0.02511985954</v>
      </c>
      <c r="H85" s="11">
        <f t="shared" si="3"/>
        <v>0.01827956989</v>
      </c>
      <c r="I85" s="12">
        <f t="shared" ref="I85:J85" si="88">IFERROR(D85/B85*1000,0)</f>
        <v>43.40603687</v>
      </c>
      <c r="J85" s="12">
        <f t="shared" si="88"/>
        <v>18.27956989</v>
      </c>
      <c r="K85" s="12">
        <f t="shared" si="5"/>
        <v>113.3823529</v>
      </c>
      <c r="L85" s="4">
        <f t="shared" si="6"/>
        <v>1.19943995</v>
      </c>
    </row>
    <row r="86">
      <c r="G86" s="11">
        <f t="shared" si="2"/>
        <v>0.0231519423</v>
      </c>
      <c r="H86" s="11">
        <f t="shared" si="3"/>
        <v>0.02300884956</v>
      </c>
      <c r="I86" s="12">
        <f t="shared" ref="I86:J86" si="89">IFERROR(D86/B86*1000,0)</f>
        <v>25.20078676</v>
      </c>
      <c r="J86" s="12">
        <f t="shared" si="89"/>
        <v>23.00884956</v>
      </c>
      <c r="K86" s="12">
        <f t="shared" si="5"/>
        <v>116.6923077</v>
      </c>
      <c r="L86" s="4">
        <f t="shared" si="6"/>
        <v>2.466666667</v>
      </c>
    </row>
    <row r="87">
      <c r="G87" s="11">
        <f t="shared" si="2"/>
        <v>0.01369098601</v>
      </c>
      <c r="H87" s="11">
        <f t="shared" si="3"/>
        <v>0.02085308057</v>
      </c>
      <c r="I87" s="12">
        <f t="shared" ref="I87:J87" si="90">IFERROR(D87/B87*1000,0)</f>
        <v>16.4940694</v>
      </c>
      <c r="J87" s="12">
        <f t="shared" si="90"/>
        <v>20.85308057</v>
      </c>
      <c r="K87" s="12">
        <f t="shared" si="5"/>
        <v>118.2727273</v>
      </c>
      <c r="L87" s="4">
        <f t="shared" si="6"/>
        <v>2.047206924</v>
      </c>
    </row>
    <row r="88">
      <c r="G88" s="11">
        <f t="shared" si="2"/>
        <v>0.0199008401</v>
      </c>
      <c r="H88" s="11">
        <f t="shared" si="3"/>
        <v>0.01730103806</v>
      </c>
      <c r="I88" s="12">
        <f t="shared" ref="I88:J88" si="91">IFERROR(D88/B88*1000,0)</f>
        <v>27.40669329</v>
      </c>
      <c r="J88" s="12">
        <f t="shared" si="91"/>
        <v>17.30103806</v>
      </c>
      <c r="K88" s="12">
        <f t="shared" si="5"/>
        <v>206.2</v>
      </c>
      <c r="L88" s="4">
        <f t="shared" si="6"/>
        <v>2.590452261</v>
      </c>
    </row>
    <row r="89">
      <c r="G89" s="11">
        <f t="shared" si="2"/>
        <v>0.02953087199</v>
      </c>
      <c r="H89" s="11">
        <f t="shared" si="3"/>
        <v>0.01513802315</v>
      </c>
      <c r="I89" s="12">
        <f t="shared" ref="I89:J89" si="92">IFERROR(D89/B89*1000,0)</f>
        <v>47.22835805</v>
      </c>
      <c r="J89" s="12">
        <f t="shared" si="92"/>
        <v>15.13802315</v>
      </c>
      <c r="K89" s="12">
        <f t="shared" si="5"/>
        <v>177.6764706</v>
      </c>
      <c r="L89" s="4">
        <f t="shared" si="6"/>
        <v>1.681792873</v>
      </c>
    </row>
    <row r="90">
      <c r="G90" s="11">
        <f t="shared" si="2"/>
        <v>0.01322009454</v>
      </c>
      <c r="H90" s="11">
        <f t="shared" si="3"/>
        <v>0.01575757576</v>
      </c>
      <c r="I90" s="12">
        <f t="shared" ref="I90:J90" si="93">IFERROR(D90/B90*1000,0)</f>
        <v>14.9507251</v>
      </c>
      <c r="J90" s="12">
        <f t="shared" si="93"/>
        <v>15.75757576</v>
      </c>
      <c r="K90" s="12">
        <f t="shared" si="5"/>
        <v>94.07692308</v>
      </c>
      <c r="L90" s="4">
        <f t="shared" si="6"/>
        <v>1.310825295</v>
      </c>
    </row>
    <row r="91">
      <c r="G91" s="11">
        <f t="shared" si="2"/>
        <v>0.0148229311</v>
      </c>
      <c r="H91" s="11">
        <f t="shared" si="3"/>
        <v>0.01813110181</v>
      </c>
      <c r="I91" s="12">
        <f t="shared" ref="I91:J91" si="94">IFERROR(D91/B91*1000,0)</f>
        <v>18.89561928</v>
      </c>
      <c r="J91" s="12">
        <f t="shared" si="94"/>
        <v>18.13110181</v>
      </c>
      <c r="K91" s="12">
        <f t="shared" si="5"/>
        <v>135.6923077</v>
      </c>
      <c r="L91" s="4">
        <f t="shared" si="6"/>
        <v>1.929978118</v>
      </c>
    </row>
    <row r="92">
      <c r="G92" s="11">
        <f t="shared" si="2"/>
        <v>0.01648235436</v>
      </c>
      <c r="H92" s="11">
        <f t="shared" si="3"/>
        <v>0.02108157654</v>
      </c>
      <c r="I92" s="12">
        <f t="shared" ref="I92:J92" si="95">IFERROR(D92/B92*1000,0)</f>
        <v>28.16050278</v>
      </c>
      <c r="J92" s="12">
        <f t="shared" si="95"/>
        <v>21.08157654</v>
      </c>
      <c r="K92" s="12">
        <f t="shared" si="5"/>
        <v>124.173913</v>
      </c>
      <c r="L92" s="4">
        <f t="shared" si="6"/>
        <v>1.532188841</v>
      </c>
    </row>
    <row r="93">
      <c r="G93" s="11">
        <f t="shared" si="2"/>
        <v>0.01975413595</v>
      </c>
      <c r="H93" s="11">
        <f t="shared" si="3"/>
        <v>0.02378255946</v>
      </c>
      <c r="I93" s="12">
        <f t="shared" ref="I93:J93" si="96">IFERROR(D93/B93*1000,0)</f>
        <v>34.22857079</v>
      </c>
      <c r="J93" s="12">
        <f t="shared" si="96"/>
        <v>23.78255946</v>
      </c>
      <c r="K93" s="12">
        <f t="shared" si="5"/>
        <v>110.1428571</v>
      </c>
      <c r="L93" s="4">
        <f t="shared" si="6"/>
        <v>1.511764706</v>
      </c>
    </row>
    <row r="94">
      <c r="G94" s="11">
        <f t="shared" si="2"/>
        <v>0.01225102751</v>
      </c>
      <c r="H94" s="11">
        <f t="shared" si="3"/>
        <v>0.02258064516</v>
      </c>
      <c r="I94" s="12">
        <f t="shared" ref="I94:J94" si="97">IFERROR(D94/B94*1000,0)</f>
        <v>19.52260512</v>
      </c>
      <c r="J94" s="12">
        <f t="shared" si="97"/>
        <v>22.58064516</v>
      </c>
      <c r="K94" s="12">
        <f t="shared" si="5"/>
        <v>109.4285714</v>
      </c>
      <c r="L94" s="4">
        <f t="shared" si="6"/>
        <v>1.550607287</v>
      </c>
    </row>
    <row r="95">
      <c r="G95" s="11">
        <f t="shared" si="2"/>
        <v>0.03161494191</v>
      </c>
      <c r="H95" s="11">
        <f t="shared" si="3"/>
        <v>0.02414292612</v>
      </c>
      <c r="I95" s="12">
        <f t="shared" ref="I95:J95" si="98">IFERROR(D95/B95*1000,0)</f>
        <v>49.13978659</v>
      </c>
      <c r="J95" s="12">
        <f t="shared" si="98"/>
        <v>24.14292612</v>
      </c>
      <c r="K95" s="12">
        <f t="shared" si="5"/>
        <v>126.5</v>
      </c>
      <c r="L95" s="4">
        <f t="shared" si="6"/>
        <v>1.96489593</v>
      </c>
    </row>
    <row r="96">
      <c r="G96" s="11">
        <f t="shared" si="2"/>
        <v>0.02336913807</v>
      </c>
      <c r="H96" s="11">
        <f t="shared" si="3"/>
        <v>0.01569506726</v>
      </c>
      <c r="I96" s="12">
        <f t="shared" ref="I96:J96" si="99">IFERROR(D96/B96*1000,0)</f>
        <v>40.18862981</v>
      </c>
      <c r="J96" s="12">
        <f t="shared" si="99"/>
        <v>15.69506726</v>
      </c>
      <c r="K96" s="12">
        <f t="shared" si="5"/>
        <v>99.57142857</v>
      </c>
      <c r="L96" s="4">
        <f t="shared" si="6"/>
        <v>0.9087353325</v>
      </c>
    </row>
    <row r="97">
      <c r="G97" s="11">
        <f t="shared" si="2"/>
        <v>0.01884698299</v>
      </c>
      <c r="H97" s="11">
        <f t="shared" si="3"/>
        <v>0.01925254813</v>
      </c>
      <c r="I97" s="12">
        <f t="shared" ref="I97:J97" si="100">IFERROR(D97/B97*1000,0)</f>
        <v>32.71008089</v>
      </c>
      <c r="J97" s="12">
        <f t="shared" si="100"/>
        <v>19.25254813</v>
      </c>
      <c r="K97" s="12">
        <f t="shared" si="5"/>
        <v>132.9411765</v>
      </c>
      <c r="L97" s="4">
        <f t="shared" si="6"/>
        <v>1.474714519</v>
      </c>
    </row>
    <row r="98">
      <c r="G98" s="11">
        <f t="shared" si="2"/>
        <v>0.02954997289</v>
      </c>
      <c r="H98" s="11">
        <f t="shared" si="3"/>
        <v>0.01703800786</v>
      </c>
      <c r="I98" s="12">
        <f t="shared" ref="I98:J98" si="101">IFERROR(D98/B98*1000,0)</f>
        <v>48.97885415</v>
      </c>
      <c r="J98" s="12">
        <f t="shared" si="101"/>
        <v>17.03800786</v>
      </c>
      <c r="K98" s="12">
        <f t="shared" si="5"/>
        <v>155.8717949</v>
      </c>
      <c r="L98" s="4">
        <f t="shared" si="6"/>
        <v>1.602266737</v>
      </c>
    </row>
    <row r="99">
      <c r="G99" s="11">
        <f t="shared" si="2"/>
        <v>0.0230399712</v>
      </c>
      <c r="H99" s="11">
        <f t="shared" si="3"/>
        <v>0.013671875</v>
      </c>
      <c r="I99" s="12">
        <f t="shared" ref="I99:J99" si="102">IFERROR(D99/B99*1000,0)</f>
        <v>39.98245002</v>
      </c>
      <c r="J99" s="12">
        <f t="shared" si="102"/>
        <v>13.671875</v>
      </c>
      <c r="K99" s="12">
        <f t="shared" si="5"/>
        <v>209</v>
      </c>
      <c r="L99" s="4">
        <f t="shared" si="6"/>
        <v>1.646595385</v>
      </c>
    </row>
    <row r="100">
      <c r="G100" s="11">
        <f t="shared" si="2"/>
        <v>0.01148369316</v>
      </c>
      <c r="H100" s="11">
        <f t="shared" si="3"/>
        <v>0.01833333333</v>
      </c>
      <c r="I100" s="12">
        <f t="shared" ref="I100:J100" si="103">IFERROR(D100/B100*1000,0)</f>
        <v>16.09630991</v>
      </c>
      <c r="J100" s="12">
        <f t="shared" si="103"/>
        <v>18.33333333</v>
      </c>
      <c r="K100" s="12">
        <f t="shared" si="5"/>
        <v>119</v>
      </c>
      <c r="L100" s="4">
        <f t="shared" si="6"/>
        <v>1.55648038</v>
      </c>
    </row>
    <row r="101">
      <c r="G101" s="11">
        <f t="shared" si="2"/>
        <v>0.01675521859</v>
      </c>
      <c r="H101" s="11">
        <f t="shared" si="3"/>
        <v>0.01306413302</v>
      </c>
      <c r="I101" s="12">
        <f t="shared" ref="I101:J101" si="104">IFERROR(D101/B101*1000,0)</f>
        <v>21.23256323</v>
      </c>
      <c r="J101" s="12">
        <f t="shared" si="104"/>
        <v>13.06413302</v>
      </c>
      <c r="K101" s="12">
        <f t="shared" si="5"/>
        <v>145.0909091</v>
      </c>
      <c r="L101" s="4">
        <f t="shared" si="6"/>
        <v>1.495782568</v>
      </c>
    </row>
    <row r="102">
      <c r="G102" s="11">
        <f t="shared" si="2"/>
        <v>0.03010706019</v>
      </c>
      <c r="H102" s="11">
        <f t="shared" si="3"/>
        <v>0.0172993753</v>
      </c>
      <c r="I102" s="12">
        <f t="shared" ref="I102:J102" si="105">IFERROR(D102/B102*1000,0)</f>
        <v>36.19791667</v>
      </c>
      <c r="J102" s="12">
        <f t="shared" si="105"/>
        <v>17.2993753</v>
      </c>
      <c r="K102" s="12">
        <f t="shared" si="5"/>
        <v>209.3611111</v>
      </c>
      <c r="L102" s="4">
        <f t="shared" si="6"/>
        <v>3.012390088</v>
      </c>
    </row>
    <row r="103">
      <c r="G103" s="11">
        <f t="shared" si="2"/>
        <v>0.01943743158</v>
      </c>
      <c r="H103" s="11">
        <f t="shared" si="3"/>
        <v>0.01149425287</v>
      </c>
      <c r="I103" s="12">
        <f t="shared" ref="I103:J103" si="106">IFERROR(D103/B103*1000,0)</f>
        <v>25.11226792</v>
      </c>
      <c r="J103" s="12">
        <f t="shared" si="106"/>
        <v>11.49425287</v>
      </c>
      <c r="K103" s="12">
        <f t="shared" si="5"/>
        <v>112.25</v>
      </c>
      <c r="L103" s="4">
        <f t="shared" si="6"/>
        <v>0.9986654804</v>
      </c>
    </row>
    <row r="104">
      <c r="G104" s="11">
        <f t="shared" si="2"/>
        <v>0.01961840629</v>
      </c>
      <c r="H104" s="11">
        <f t="shared" si="3"/>
        <v>0.01372997712</v>
      </c>
      <c r="I104" s="12">
        <f t="shared" ref="I104:J104" si="107">IFERROR(D104/B104*1000,0)</f>
        <v>33.31088664</v>
      </c>
      <c r="J104" s="12">
        <f t="shared" si="107"/>
        <v>13.72997712</v>
      </c>
      <c r="K104" s="12">
        <f t="shared" si="5"/>
        <v>158.3333333</v>
      </c>
      <c r="L104" s="4">
        <f t="shared" si="6"/>
        <v>1.28032345</v>
      </c>
    </row>
    <row r="105">
      <c r="G105" s="11">
        <f t="shared" si="2"/>
        <v>0.01339329358</v>
      </c>
      <c r="H105" s="11">
        <f t="shared" si="3"/>
        <v>0.01916058394</v>
      </c>
      <c r="I105" s="12">
        <f t="shared" ref="I105:J105" si="108">IFERROR(D105/B105*1000,0)</f>
        <v>17.86587154</v>
      </c>
      <c r="J105" s="12">
        <f t="shared" si="108"/>
        <v>19.16058394</v>
      </c>
      <c r="K105" s="12">
        <f t="shared" si="5"/>
        <v>142.5714286</v>
      </c>
      <c r="L105" s="4">
        <f t="shared" si="6"/>
        <v>2.047879617</v>
      </c>
    </row>
    <row r="106">
      <c r="G106" s="11">
        <f t="shared" si="2"/>
        <v>0.01970923261</v>
      </c>
      <c r="H106" s="11">
        <f t="shared" si="3"/>
        <v>0.020640956</v>
      </c>
      <c r="I106" s="12">
        <f t="shared" ref="I106:J106" si="109">IFERROR(D106/B106*1000,0)</f>
        <v>40.2642172</v>
      </c>
      <c r="J106" s="12">
        <f t="shared" si="109"/>
        <v>20.640956</v>
      </c>
      <c r="K106" s="12">
        <f t="shared" si="5"/>
        <v>173.3684211</v>
      </c>
      <c r="L106" s="4">
        <f t="shared" si="6"/>
        <v>1.751661792</v>
      </c>
    </row>
    <row r="107">
      <c r="G107" s="11">
        <f t="shared" si="2"/>
        <v>0.01442307692</v>
      </c>
      <c r="H107" s="11">
        <f t="shared" si="3"/>
        <v>0.02339181287</v>
      </c>
      <c r="I107" s="12">
        <f t="shared" ref="I107:J107" si="110">IFERROR(D107/B107*1000,0)</f>
        <v>16.99561404</v>
      </c>
      <c r="J107" s="12">
        <f t="shared" si="110"/>
        <v>23.39181287</v>
      </c>
      <c r="K107" s="12">
        <f t="shared" si="5"/>
        <v>148.5</v>
      </c>
      <c r="L107" s="4">
        <f t="shared" si="6"/>
        <v>2.947890819</v>
      </c>
    </row>
    <row r="108">
      <c r="G108" s="11">
        <f t="shared" si="2"/>
        <v>0.01225627419</v>
      </c>
      <c r="H108" s="11">
        <f t="shared" si="3"/>
        <v>0.01986097319</v>
      </c>
      <c r="I108" s="12">
        <f t="shared" ref="I108:J108" si="111">IFERROR(D108/B108*1000,0)</f>
        <v>21.74971398</v>
      </c>
      <c r="J108" s="12">
        <f t="shared" si="111"/>
        <v>19.86097319</v>
      </c>
      <c r="K108" s="12">
        <f t="shared" si="5"/>
        <v>171.65</v>
      </c>
      <c r="L108" s="4">
        <f t="shared" si="6"/>
        <v>1.92109681</v>
      </c>
    </row>
    <row r="109">
      <c r="G109" s="11">
        <f t="shared" si="2"/>
        <v>0.0195410044</v>
      </c>
      <c r="H109" s="11">
        <f t="shared" si="3"/>
        <v>0.0238336714</v>
      </c>
      <c r="I109" s="12">
        <f t="shared" ref="I109:J109" si="112">IFERROR(D109/B109*1000,0)</f>
        <v>26.71528796</v>
      </c>
      <c r="J109" s="12">
        <f t="shared" si="112"/>
        <v>23.8336714</v>
      </c>
      <c r="K109" s="12">
        <f t="shared" si="5"/>
        <v>124.2553191</v>
      </c>
      <c r="L109" s="4">
        <f t="shared" si="6"/>
        <v>2.166172107</v>
      </c>
    </row>
    <row r="110">
      <c r="G110" s="11">
        <f t="shared" si="2"/>
        <v>0.02005465014</v>
      </c>
      <c r="H110" s="11">
        <f t="shared" si="3"/>
        <v>0.009732360097</v>
      </c>
      <c r="I110" s="12">
        <f t="shared" ref="I110:J110" si="113">IFERROR(D110/B110*1000,0)</f>
        <v>35.81536059</v>
      </c>
      <c r="J110" s="12">
        <f t="shared" si="113"/>
        <v>9.732360097</v>
      </c>
      <c r="K110" s="12">
        <f t="shared" si="5"/>
        <v>167.25</v>
      </c>
      <c r="L110" s="4">
        <f t="shared" si="6"/>
        <v>0.9114441417</v>
      </c>
    </row>
    <row r="111">
      <c r="G111" s="11">
        <f t="shared" si="2"/>
        <v>0.01495220371</v>
      </c>
      <c r="H111" s="11">
        <f t="shared" si="3"/>
        <v>0.02263083451</v>
      </c>
      <c r="I111" s="12">
        <f t="shared" ref="I111:J111" si="114">IFERROR(D111/B111*1000,0)</f>
        <v>27.30310464</v>
      </c>
      <c r="J111" s="12">
        <f t="shared" si="114"/>
        <v>22.63083451</v>
      </c>
      <c r="K111" s="12">
        <f t="shared" si="5"/>
        <v>225</v>
      </c>
      <c r="L111" s="4">
        <f t="shared" si="6"/>
        <v>2.788536019</v>
      </c>
    </row>
    <row r="112">
      <c r="G112" s="11">
        <f t="shared" si="2"/>
        <v>0.02892191977</v>
      </c>
      <c r="H112" s="11">
        <f t="shared" si="3"/>
        <v>0.02476780186</v>
      </c>
      <c r="I112" s="12">
        <f t="shared" ref="I112:J112" si="115">IFERROR(D112/B112*1000,0)</f>
        <v>41.71356938</v>
      </c>
      <c r="J112" s="12">
        <f t="shared" si="115"/>
        <v>24.76780186</v>
      </c>
      <c r="K112" s="12">
        <f t="shared" si="5"/>
        <v>195.6071429</v>
      </c>
      <c r="L112" s="4">
        <f t="shared" si="6"/>
        <v>3.359092303</v>
      </c>
    </row>
    <row r="113">
      <c r="G113" s="11">
        <f t="shared" si="2"/>
        <v>0.02145701884</v>
      </c>
      <c r="H113" s="11">
        <f t="shared" si="3"/>
        <v>0.01459854015</v>
      </c>
      <c r="I113" s="12">
        <f t="shared" ref="I113:J113" si="116">IFERROR(D113/B113*1000,0)</f>
        <v>38.80834116</v>
      </c>
      <c r="J113" s="12">
        <f t="shared" si="116"/>
        <v>14.59854015</v>
      </c>
      <c r="K113" s="12">
        <f t="shared" si="5"/>
        <v>156.1071429</v>
      </c>
      <c r="L113" s="4">
        <f t="shared" si="6"/>
        <v>1.260017296</v>
      </c>
    </row>
    <row r="114">
      <c r="G114" s="11">
        <f t="shared" si="2"/>
        <v>0.0269331687</v>
      </c>
      <c r="H114" s="11">
        <f t="shared" si="3"/>
        <v>0.01719197708</v>
      </c>
      <c r="I114" s="12">
        <f t="shared" ref="I114:J114" si="117">IFERROR(D114/B114*1000,0)</f>
        <v>28.68240984</v>
      </c>
      <c r="J114" s="12">
        <f t="shared" si="117"/>
        <v>17.19197708</v>
      </c>
      <c r="K114" s="12">
        <f t="shared" si="5"/>
        <v>180.5833333</v>
      </c>
      <c r="L114" s="4">
        <f t="shared" si="6"/>
        <v>2.915246637</v>
      </c>
    </row>
    <row r="115">
      <c r="G115" s="11">
        <f t="shared" si="2"/>
        <v>0.01123535846</v>
      </c>
      <c r="H115" s="11">
        <f t="shared" si="3"/>
        <v>0.02268431002</v>
      </c>
      <c r="I115" s="12">
        <f t="shared" ref="I115:J115" si="118">IFERROR(D115/B115*1000,0)</f>
        <v>21.22824344</v>
      </c>
      <c r="J115" s="12">
        <f t="shared" si="118"/>
        <v>22.68431002</v>
      </c>
      <c r="K115" s="12">
        <f t="shared" si="5"/>
        <v>177.7916667</v>
      </c>
      <c r="L115" s="4">
        <f t="shared" si="6"/>
        <v>2.134567284</v>
      </c>
    </row>
    <row r="116">
      <c r="G116" s="11">
        <f t="shared" si="2"/>
        <v>0.02282717177</v>
      </c>
      <c r="H116" s="11">
        <f t="shared" si="3"/>
        <v>0.0223255814</v>
      </c>
      <c r="I116" s="12">
        <f t="shared" ref="I116:J116" si="119">IFERROR(D116/B116*1000,0)</f>
        <v>43.61582401</v>
      </c>
      <c r="J116" s="12">
        <f t="shared" si="119"/>
        <v>22.3255814</v>
      </c>
      <c r="K116" s="12">
        <f t="shared" si="5"/>
        <v>189.125</v>
      </c>
      <c r="L116" s="4">
        <f t="shared" si="6"/>
        <v>2.209834469</v>
      </c>
    </row>
    <row r="117">
      <c r="G117" s="11">
        <f t="shared" si="2"/>
        <v>0.01291507966</v>
      </c>
      <c r="H117" s="11">
        <f t="shared" si="3"/>
        <v>0.01973001038</v>
      </c>
      <c r="I117" s="12">
        <f t="shared" ref="I117:J117" si="120">IFERROR(D117/B117*1000,0)</f>
        <v>23.30883536</v>
      </c>
      <c r="J117" s="12">
        <f t="shared" si="120"/>
        <v>19.73001038</v>
      </c>
      <c r="K117" s="12">
        <f t="shared" si="5"/>
        <v>189.7894737</v>
      </c>
      <c r="L117" s="4">
        <f t="shared" si="6"/>
        <v>2.074798619</v>
      </c>
    </row>
    <row r="118">
      <c r="G118" s="11">
        <f t="shared" si="2"/>
        <v>0.02146444192</v>
      </c>
      <c r="H118" s="11">
        <f t="shared" si="3"/>
        <v>0.01698113208</v>
      </c>
      <c r="I118" s="12">
        <f t="shared" ref="I118:J118" si="121">IFERROR(D118/B118*1000,0)</f>
        <v>44.30584805</v>
      </c>
      <c r="J118" s="12">
        <f t="shared" si="121"/>
        <v>16.98113208</v>
      </c>
      <c r="K118" s="12">
        <f t="shared" si="5"/>
        <v>136.8888889</v>
      </c>
      <c r="L118" s="4">
        <f t="shared" si="6"/>
        <v>1.126142596</v>
      </c>
    </row>
    <row r="119">
      <c r="G119" s="11">
        <f t="shared" si="2"/>
        <v>0.01218316537</v>
      </c>
      <c r="H119" s="11">
        <f t="shared" si="3"/>
        <v>0.01846965699</v>
      </c>
      <c r="I119" s="12">
        <f t="shared" ref="I119:J119" si="122">IFERROR(D119/B119*1000,0)</f>
        <v>13.13145925</v>
      </c>
      <c r="J119" s="12">
        <f t="shared" si="122"/>
        <v>18.46965699</v>
      </c>
      <c r="K119" s="12">
        <f t="shared" si="5"/>
        <v>151.4285714</v>
      </c>
      <c r="L119" s="4">
        <f t="shared" si="6"/>
        <v>2.594859241</v>
      </c>
    </row>
    <row r="120">
      <c r="G120" s="11">
        <f t="shared" si="2"/>
        <v>0.01981854007</v>
      </c>
      <c r="H120" s="11">
        <f t="shared" si="3"/>
        <v>0.01734104046</v>
      </c>
      <c r="I120" s="12">
        <f t="shared" ref="I120:J120" si="123">IFERROR(D120/B120*1000,0)</f>
        <v>24.03427576</v>
      </c>
      <c r="J120" s="12">
        <f t="shared" si="123"/>
        <v>17.34104046</v>
      </c>
      <c r="K120" s="12">
        <f t="shared" si="5"/>
        <v>127.8</v>
      </c>
      <c r="L120" s="4">
        <f t="shared" si="6"/>
        <v>1.827454719</v>
      </c>
    </row>
    <row r="121">
      <c r="G121" s="11">
        <f t="shared" si="2"/>
        <v>0.01745366933</v>
      </c>
      <c r="H121" s="11">
        <f t="shared" si="3"/>
        <v>0.01926163724</v>
      </c>
      <c r="I121" s="12">
        <f t="shared" ref="I121:J121" si="124">IFERROR(D121/B121*1000,0)</f>
        <v>31.13925115</v>
      </c>
      <c r="J121" s="12">
        <f t="shared" si="124"/>
        <v>19.26163724</v>
      </c>
      <c r="K121" s="12">
        <f t="shared" si="5"/>
        <v>133.1666667</v>
      </c>
      <c r="L121" s="4">
        <f t="shared" si="6"/>
        <v>1.437696806</v>
      </c>
    </row>
    <row r="122">
      <c r="G122" s="11">
        <f t="shared" si="2"/>
        <v>0.01826484018</v>
      </c>
      <c r="H122" s="11">
        <f t="shared" si="3"/>
        <v>0.01694915254</v>
      </c>
      <c r="I122" s="12">
        <f t="shared" ref="I122:J122" si="125">IFERROR(D122/B122*1000,0)</f>
        <v>23.52759074</v>
      </c>
      <c r="J122" s="12">
        <f t="shared" si="125"/>
        <v>16.94915254</v>
      </c>
      <c r="K122" s="12">
        <f t="shared" si="5"/>
        <v>134</v>
      </c>
      <c r="L122" s="4">
        <f t="shared" si="6"/>
        <v>1.763157895</v>
      </c>
    </row>
    <row r="123">
      <c r="G123" s="11">
        <f t="shared" si="2"/>
        <v>0.0129367355</v>
      </c>
      <c r="H123" s="11">
        <f t="shared" si="3"/>
        <v>0.01940298507</v>
      </c>
      <c r="I123" s="12">
        <f t="shared" ref="I123:J123" si="126">IFERROR(D123/B123*1000,0)</f>
        <v>18.0148869</v>
      </c>
      <c r="J123" s="12">
        <f t="shared" si="126"/>
        <v>19.40298507</v>
      </c>
      <c r="K123" s="12">
        <f t="shared" si="5"/>
        <v>107.8461538</v>
      </c>
      <c r="L123" s="4">
        <f t="shared" si="6"/>
        <v>1.502679528</v>
      </c>
    </row>
    <row r="124">
      <c r="G124" s="11">
        <f t="shared" si="2"/>
        <v>0.02628285357</v>
      </c>
      <c r="H124" s="11">
        <f t="shared" si="3"/>
        <v>0.0175070028</v>
      </c>
      <c r="I124" s="12">
        <f t="shared" ref="I124:J124" si="127">IFERROR(D124/B124*1000,0)</f>
        <v>40.30773761</v>
      </c>
      <c r="J124" s="12">
        <f t="shared" si="127"/>
        <v>17.5070028</v>
      </c>
      <c r="K124" s="12">
        <f t="shared" si="5"/>
        <v>128.16</v>
      </c>
      <c r="L124" s="4">
        <f t="shared" si="6"/>
        <v>1.463013699</v>
      </c>
    </row>
    <row r="125">
      <c r="G125" s="11">
        <f t="shared" si="2"/>
        <v>0.0257256894</v>
      </c>
      <c r="H125" s="11">
        <f t="shared" si="3"/>
        <v>0.02186177715</v>
      </c>
      <c r="I125" s="12">
        <f t="shared" ref="I125:J125" si="128">IFERROR(D125/B125*1000,0)</f>
        <v>39.67706821</v>
      </c>
      <c r="J125" s="12">
        <f t="shared" si="128"/>
        <v>21.86177715</v>
      </c>
      <c r="K125" s="12">
        <f t="shared" si="5"/>
        <v>152.7096774</v>
      </c>
      <c r="L125" s="4">
        <f t="shared" si="6"/>
        <v>2.164609053</v>
      </c>
    </row>
    <row r="126">
      <c r="G126" s="11">
        <f t="shared" si="2"/>
        <v>0.01664235993</v>
      </c>
      <c r="H126" s="11">
        <f t="shared" si="3"/>
        <v>0.02548166563</v>
      </c>
      <c r="I126" s="12">
        <f t="shared" ref="I126:J126" si="129">IFERROR(D126/B126*1000,0)</f>
        <v>32.25039046</v>
      </c>
      <c r="J126" s="12">
        <f t="shared" si="129"/>
        <v>25.48166563</v>
      </c>
      <c r="K126" s="12">
        <f t="shared" si="5"/>
        <v>161.6341463</v>
      </c>
      <c r="L126" s="4">
        <f t="shared" si="6"/>
        <v>2.125400898</v>
      </c>
    </row>
    <row r="127">
      <c r="G127" s="11">
        <f t="shared" si="2"/>
        <v>0.02013895882</v>
      </c>
      <c r="H127" s="11">
        <f t="shared" si="3"/>
        <v>0.018</v>
      </c>
      <c r="I127" s="12">
        <f t="shared" ref="I127:J127" si="130">IFERROR(D127/B127*1000,0)</f>
        <v>19.47437317</v>
      </c>
      <c r="J127" s="12">
        <f t="shared" si="130"/>
        <v>18</v>
      </c>
      <c r="K127" s="12">
        <f t="shared" si="5"/>
        <v>166</v>
      </c>
      <c r="L127" s="4">
        <f t="shared" si="6"/>
        <v>3.089968976</v>
      </c>
    </row>
    <row r="128">
      <c r="G128" s="11">
        <f t="shared" si="2"/>
        <v>0.026620316</v>
      </c>
      <c r="H128" s="11">
        <f t="shared" si="3"/>
        <v>0.01529411765</v>
      </c>
      <c r="I128" s="12">
        <f t="shared" ref="I128:J128" si="131">IFERROR(D128/B128*1000,0)</f>
        <v>59.31632765</v>
      </c>
      <c r="J128" s="12">
        <f t="shared" si="131"/>
        <v>15.29411765</v>
      </c>
      <c r="K128" s="12">
        <f t="shared" si="5"/>
        <v>104.1153846</v>
      </c>
      <c r="L128" s="4">
        <f t="shared" si="6"/>
        <v>0.714625132</v>
      </c>
    </row>
    <row r="129">
      <c r="G129" s="11">
        <f t="shared" si="2"/>
        <v>0.02111002377</v>
      </c>
      <c r="H129" s="11">
        <f t="shared" si="3"/>
        <v>0.01324503311</v>
      </c>
      <c r="I129" s="12">
        <f t="shared" ref="I129:J129" si="132">IFERROR(D129/B129*1000,0)</f>
        <v>27.72729391</v>
      </c>
      <c r="J129" s="12">
        <f t="shared" si="132"/>
        <v>13.24503311</v>
      </c>
      <c r="K129" s="12">
        <f t="shared" si="5"/>
        <v>157.8333333</v>
      </c>
      <c r="L129" s="4">
        <f t="shared" si="6"/>
        <v>1.591596639</v>
      </c>
    </row>
    <row r="130">
      <c r="G130" s="11">
        <f t="shared" si="2"/>
        <v>0.02459442227</v>
      </c>
      <c r="H130" s="11">
        <f t="shared" si="3"/>
        <v>0.02256361018</v>
      </c>
      <c r="I130" s="12">
        <f t="shared" ref="I130:J130" si="133">IFERROR(D130/B130*1000,0)</f>
        <v>29.05754835</v>
      </c>
      <c r="J130" s="12">
        <f t="shared" si="133"/>
        <v>22.56361018</v>
      </c>
      <c r="K130" s="12">
        <f t="shared" si="5"/>
        <v>150.4893617</v>
      </c>
      <c r="L130" s="4">
        <f t="shared" si="6"/>
        <v>2.874034945</v>
      </c>
    </row>
    <row r="131">
      <c r="G131" s="11">
        <f t="shared" si="2"/>
        <v>0.03014912151</v>
      </c>
      <c r="H131" s="11">
        <f t="shared" si="3"/>
        <v>0.02007835455</v>
      </c>
      <c r="I131" s="12">
        <f t="shared" ref="I131:J131" si="134">IFERROR(D131/B131*1000,0)</f>
        <v>50.34696589</v>
      </c>
      <c r="J131" s="12">
        <f t="shared" si="134"/>
        <v>20.07835455</v>
      </c>
      <c r="K131" s="12">
        <f t="shared" si="5"/>
        <v>144.9512195</v>
      </c>
      <c r="L131" s="4">
        <f t="shared" si="6"/>
        <v>1.742815249</v>
      </c>
    </row>
    <row r="132">
      <c r="G132" s="11">
        <f t="shared" si="2"/>
        <v>0.01956098424</v>
      </c>
      <c r="H132" s="11">
        <f t="shared" si="3"/>
        <v>0.01809954751</v>
      </c>
      <c r="I132" s="12">
        <f t="shared" ref="I132:J132" si="135">IFERROR(D132/B132*1000,0)</f>
        <v>42.13135068</v>
      </c>
      <c r="J132" s="12">
        <f t="shared" si="135"/>
        <v>18.09954751</v>
      </c>
      <c r="K132" s="12">
        <f t="shared" si="5"/>
        <v>111.5</v>
      </c>
      <c r="L132" s="4">
        <f t="shared" si="6"/>
        <v>0.9369747899</v>
      </c>
    </row>
    <row r="133">
      <c r="G133" s="11">
        <f t="shared" si="2"/>
        <v>0.02878834725</v>
      </c>
      <c r="H133" s="11">
        <f t="shared" si="3"/>
        <v>0.01431980907</v>
      </c>
      <c r="I133" s="12">
        <f t="shared" ref="I133:J133" si="136">IFERROR(D133/B133*1000,0)</f>
        <v>44.14442269</v>
      </c>
      <c r="J133" s="12">
        <f t="shared" si="136"/>
        <v>14.31980907</v>
      </c>
      <c r="K133" s="12">
        <f t="shared" si="5"/>
        <v>200.0833333</v>
      </c>
      <c r="L133" s="4">
        <f t="shared" si="6"/>
        <v>1.86848249</v>
      </c>
    </row>
    <row r="134">
      <c r="G134" s="11">
        <f t="shared" si="2"/>
        <v>0.01873257174</v>
      </c>
      <c r="H134" s="11">
        <f t="shared" si="3"/>
        <v>0.0156062425</v>
      </c>
      <c r="I134" s="12">
        <f t="shared" ref="I134:J134" si="137">IFERROR(D134/B134*1000,0)</f>
        <v>21.63353423</v>
      </c>
      <c r="J134" s="12">
        <f t="shared" si="137"/>
        <v>15.6062425</v>
      </c>
      <c r="K134" s="12">
        <f t="shared" si="5"/>
        <v>138.6153846</v>
      </c>
      <c r="L134" s="4">
        <f t="shared" si="6"/>
        <v>1.873180873</v>
      </c>
    </row>
    <row r="135">
      <c r="G135" s="11">
        <f t="shared" si="2"/>
        <v>0.01669957314</v>
      </c>
      <c r="H135" s="11">
        <f t="shared" si="3"/>
        <v>0.01188903567</v>
      </c>
      <c r="I135" s="12">
        <f t="shared" ref="I135:J135" si="138">IFERROR(D135/B135*1000,0)</f>
        <v>33.11236364</v>
      </c>
      <c r="J135" s="12">
        <f t="shared" si="138"/>
        <v>11.88903567</v>
      </c>
      <c r="K135" s="12">
        <f t="shared" si="5"/>
        <v>122.2777778</v>
      </c>
      <c r="L135" s="4">
        <f t="shared" si="6"/>
        <v>0.7331778814</v>
      </c>
    </row>
    <row r="136">
      <c r="G136" s="11">
        <f t="shared" si="2"/>
        <v>0.02284217579</v>
      </c>
      <c r="H136" s="11">
        <f t="shared" si="3"/>
        <v>0.01866666667</v>
      </c>
      <c r="I136" s="12">
        <f t="shared" ref="I136:J136" si="139">IFERROR(D136/B136*1000,0)</f>
        <v>20.58841445</v>
      </c>
      <c r="J136" s="12">
        <f t="shared" si="139"/>
        <v>18.66666667</v>
      </c>
      <c r="K136" s="12">
        <f t="shared" si="5"/>
        <v>139.5714286</v>
      </c>
      <c r="L136" s="4">
        <f t="shared" si="6"/>
        <v>2.890532544</v>
      </c>
    </row>
    <row r="137">
      <c r="G137" s="11">
        <f t="shared" si="2"/>
        <v>0.02021333425</v>
      </c>
      <c r="H137" s="11">
        <f t="shared" si="3"/>
        <v>0.02557544757</v>
      </c>
      <c r="I137" s="12">
        <f t="shared" ref="I137:J137" si="140">IFERROR(D137/B137*1000,0)</f>
        <v>23.40128552</v>
      </c>
      <c r="J137" s="12">
        <f t="shared" si="140"/>
        <v>25.57544757</v>
      </c>
      <c r="K137" s="12">
        <f t="shared" si="5"/>
        <v>167.8666667</v>
      </c>
      <c r="L137" s="4">
        <f t="shared" si="6"/>
        <v>3.708394698</v>
      </c>
    </row>
    <row r="138">
      <c r="G138" s="11">
        <f t="shared" si="2"/>
        <v>0.01938905388</v>
      </c>
      <c r="H138" s="11">
        <f t="shared" si="3"/>
        <v>0.01641137856</v>
      </c>
      <c r="I138" s="12">
        <f t="shared" ref="I138:J138" si="141">IFERROR(D138/B138*1000,0)</f>
        <v>25.41366143</v>
      </c>
      <c r="J138" s="12">
        <f t="shared" si="141"/>
        <v>16.41137856</v>
      </c>
      <c r="K138" s="12">
        <f t="shared" si="5"/>
        <v>140.5333333</v>
      </c>
      <c r="L138" s="4">
        <f t="shared" si="6"/>
        <v>1.759599332</v>
      </c>
    </row>
    <row r="139">
      <c r="G139" s="11">
        <f t="shared" si="2"/>
        <v>0.0150202962</v>
      </c>
      <c r="H139" s="11">
        <f t="shared" si="3"/>
        <v>0.02577319588</v>
      </c>
      <c r="I139" s="12">
        <f t="shared" ref="I139:J139" si="142">IFERROR(D139/B139*1000,0)</f>
        <v>25.57210959</v>
      </c>
      <c r="J139" s="12">
        <f t="shared" si="142"/>
        <v>25.77319588</v>
      </c>
      <c r="K139" s="12">
        <f t="shared" si="5"/>
        <v>152.4285714</v>
      </c>
      <c r="L139" s="4">
        <f t="shared" si="6"/>
        <v>2.307525952</v>
      </c>
    </row>
    <row r="140">
      <c r="G140" s="11">
        <f t="shared" si="2"/>
        <v>0.0284126097</v>
      </c>
      <c r="H140" s="11">
        <f t="shared" si="3"/>
        <v>0.02286018075</v>
      </c>
      <c r="I140" s="12">
        <f t="shared" ref="I140:J140" si="143">IFERROR(D140/B140*1000,0)</f>
        <v>39.12209416</v>
      </c>
      <c r="J140" s="12">
        <f t="shared" si="143"/>
        <v>22.86018075</v>
      </c>
      <c r="K140" s="12">
        <f t="shared" si="5"/>
        <v>161.4651163</v>
      </c>
      <c r="L140" s="4">
        <f t="shared" si="6"/>
        <v>2.680694981</v>
      </c>
    </row>
    <row r="141">
      <c r="G141" s="11">
        <f t="shared" si="2"/>
        <v>0.01095621441</v>
      </c>
      <c r="H141" s="11">
        <f t="shared" si="3"/>
        <v>0.0119474313</v>
      </c>
      <c r="I141" s="12">
        <f t="shared" ref="I141:J141" si="144">IFERROR(D141/B141*1000,0)</f>
        <v>13.23385038</v>
      </c>
      <c r="J141" s="12">
        <f t="shared" si="144"/>
        <v>11.9474313</v>
      </c>
      <c r="K141" s="12">
        <f t="shared" si="5"/>
        <v>118.1</v>
      </c>
      <c r="L141" s="4">
        <f t="shared" si="6"/>
        <v>1.168150346</v>
      </c>
    </row>
    <row r="142">
      <c r="G142" s="11">
        <f t="shared" si="2"/>
        <v>0.01251470396</v>
      </c>
      <c r="H142" s="11">
        <f t="shared" si="3"/>
        <v>0.02349869452</v>
      </c>
      <c r="I142" s="12">
        <f t="shared" ref="I142:J142" si="145">IFERROR(D142/B142*1000,0)</f>
        <v>18.34182895</v>
      </c>
      <c r="J142" s="12">
        <f t="shared" si="145"/>
        <v>23.49869452</v>
      </c>
      <c r="K142" s="12">
        <f t="shared" si="5"/>
        <v>184.4074074</v>
      </c>
      <c r="L142" s="4">
        <f t="shared" si="6"/>
        <v>2.956650831</v>
      </c>
    </row>
    <row r="143">
      <c r="G143" s="11">
        <f t="shared" si="2"/>
        <v>0.01043031427</v>
      </c>
      <c r="H143" s="11">
        <f t="shared" si="3"/>
        <v>0.02446982055</v>
      </c>
      <c r="I143" s="12">
        <f t="shared" ref="I143:J143" si="146">IFERROR(D143/B143*1000,0)</f>
        <v>20.89465893</v>
      </c>
      <c r="J143" s="12">
        <f t="shared" si="146"/>
        <v>24.46982055</v>
      </c>
      <c r="K143" s="12">
        <f t="shared" si="5"/>
        <v>140.2</v>
      </c>
      <c r="L143" s="4">
        <f t="shared" si="6"/>
        <v>1.712540717</v>
      </c>
    </row>
    <row r="144">
      <c r="G144" s="11">
        <f t="shared" si="2"/>
        <v>0.01386814029</v>
      </c>
      <c r="H144" s="11">
        <f t="shared" si="3"/>
        <v>0.01715919924</v>
      </c>
      <c r="I144" s="12">
        <f t="shared" ref="I144:J144" si="147">IFERROR(D144/B144*1000,0)</f>
        <v>24.02136408</v>
      </c>
      <c r="J144" s="12">
        <f t="shared" si="147"/>
        <v>17.15919924</v>
      </c>
      <c r="K144" s="12">
        <f t="shared" si="5"/>
        <v>172.2222222</v>
      </c>
      <c r="L144" s="4">
        <f t="shared" si="6"/>
        <v>1.706108971</v>
      </c>
    </row>
    <row r="145">
      <c r="G145" s="11">
        <f t="shared" si="2"/>
        <v>0.01078668602</v>
      </c>
      <c r="H145" s="11">
        <f t="shared" si="3"/>
        <v>0.01694915254</v>
      </c>
      <c r="I145" s="12">
        <f t="shared" ref="I145:J145" si="148">IFERROR(D145/B145*1000,0)</f>
        <v>17.33612948</v>
      </c>
      <c r="J145" s="12">
        <f t="shared" si="148"/>
        <v>16.94915254</v>
      </c>
      <c r="K145" s="12">
        <f t="shared" si="5"/>
        <v>155.7058824</v>
      </c>
      <c r="L145" s="4">
        <f t="shared" si="6"/>
        <v>1.642059553</v>
      </c>
    </row>
    <row r="146">
      <c r="G146" s="11">
        <f t="shared" si="2"/>
        <v>0.0258060617</v>
      </c>
      <c r="H146" s="11">
        <f t="shared" si="3"/>
        <v>0.01405152225</v>
      </c>
      <c r="I146" s="12">
        <f t="shared" ref="I146:J146" si="149">IFERROR(D146/B146*1000,0)</f>
        <v>53.99933521</v>
      </c>
      <c r="J146" s="12">
        <f t="shared" si="149"/>
        <v>14.05152225</v>
      </c>
      <c r="K146" s="12">
        <f t="shared" si="5"/>
        <v>142.75</v>
      </c>
      <c r="L146" s="4">
        <f t="shared" si="6"/>
        <v>0.9585898153</v>
      </c>
    </row>
    <row r="147">
      <c r="G147" s="11">
        <f t="shared" si="2"/>
        <v>0.02676426856</v>
      </c>
      <c r="H147" s="11">
        <f t="shared" si="3"/>
        <v>0.02041785375</v>
      </c>
      <c r="I147" s="12">
        <f t="shared" ref="I147:J147" si="150">IFERROR(D147/B147*1000,0)</f>
        <v>45.91609796</v>
      </c>
      <c r="J147" s="12">
        <f t="shared" si="150"/>
        <v>20.41785375</v>
      </c>
      <c r="K147" s="12">
        <f t="shared" si="5"/>
        <v>158.7209302</v>
      </c>
      <c r="L147" s="4">
        <f t="shared" si="6"/>
        <v>1.889011901</v>
      </c>
    </row>
    <row r="148">
      <c r="G148" s="11">
        <f t="shared" si="2"/>
        <v>0.0231724954</v>
      </c>
      <c r="H148" s="11">
        <f t="shared" si="3"/>
        <v>0.01418439716</v>
      </c>
      <c r="I148" s="12">
        <f t="shared" ref="I148:J148" si="151">IFERROR(D148/B148*1000,0)</f>
        <v>32.31001841</v>
      </c>
      <c r="J148" s="12">
        <f t="shared" si="151"/>
        <v>14.18439716</v>
      </c>
      <c r="K148" s="12">
        <f t="shared" si="5"/>
        <v>182.5</v>
      </c>
      <c r="L148" s="4">
        <f t="shared" si="6"/>
        <v>1.856561546</v>
      </c>
    </row>
    <row r="149">
      <c r="G149" s="11">
        <f t="shared" si="2"/>
        <v>0.03133615667</v>
      </c>
      <c r="H149" s="11">
        <f t="shared" si="3"/>
        <v>0.02040816327</v>
      </c>
      <c r="I149" s="12">
        <f t="shared" ref="I149:J149" si="152">IFERROR(D149/B149*1000,0)</f>
        <v>48.70249837</v>
      </c>
      <c r="J149" s="12">
        <f t="shared" si="152"/>
        <v>20.40816327</v>
      </c>
      <c r="K149" s="12">
        <f t="shared" si="5"/>
        <v>176.5555556</v>
      </c>
      <c r="L149" s="4">
        <f t="shared" si="6"/>
        <v>2.318354246</v>
      </c>
    </row>
    <row r="150">
      <c r="G150" s="11">
        <f t="shared" si="2"/>
        <v>0.01838674244</v>
      </c>
      <c r="H150" s="11">
        <f t="shared" si="3"/>
        <v>0.02424242424</v>
      </c>
      <c r="I150" s="12">
        <f t="shared" ref="I150:J150" si="153">IFERROR(D150/B150*1000,0)</f>
        <v>20.87014662</v>
      </c>
      <c r="J150" s="12">
        <f t="shared" si="153"/>
        <v>24.24242424</v>
      </c>
      <c r="K150" s="12">
        <f t="shared" si="5"/>
        <v>127.3928571</v>
      </c>
      <c r="L150" s="4">
        <f t="shared" si="6"/>
        <v>2.720823799</v>
      </c>
    </row>
    <row r="151">
      <c r="G151" s="11">
        <f t="shared" si="2"/>
        <v>0.02875100642</v>
      </c>
      <c r="H151" s="11">
        <f t="shared" si="3"/>
        <v>0.01716350497</v>
      </c>
      <c r="I151" s="12">
        <f t="shared" ref="I151:J151" si="154">IFERROR(D151/B151*1000,0)</f>
        <v>58.48894891</v>
      </c>
      <c r="J151" s="12">
        <f t="shared" si="154"/>
        <v>17.16350497</v>
      </c>
      <c r="K151" s="12">
        <f t="shared" si="5"/>
        <v>200.8421053</v>
      </c>
      <c r="L151" s="4">
        <f t="shared" si="6"/>
        <v>1.694493783</v>
      </c>
    </row>
    <row r="152">
      <c r="G152" s="11">
        <f t="shared" si="2"/>
        <v>0.01515699937</v>
      </c>
      <c r="H152" s="11">
        <f t="shared" si="3"/>
        <v>0.01194029851</v>
      </c>
      <c r="I152" s="12">
        <f t="shared" ref="I152:J152" si="155">IFERROR(D152/B152*1000,0)</f>
        <v>19.41000814</v>
      </c>
      <c r="J152" s="12">
        <f t="shared" si="155"/>
        <v>11.94029851</v>
      </c>
      <c r="K152" s="12">
        <f t="shared" si="5"/>
        <v>175.25</v>
      </c>
      <c r="L152" s="4">
        <f t="shared" si="6"/>
        <v>1.634032634</v>
      </c>
    </row>
    <row r="153">
      <c r="G153" s="11">
        <f t="shared" si="2"/>
        <v>0.02569832402</v>
      </c>
      <c r="H153" s="11">
        <f t="shared" si="3"/>
        <v>0.01630434783</v>
      </c>
      <c r="I153" s="12">
        <f t="shared" ref="I153:J153" si="156">IFERROR(D153/B153*1000,0)</f>
        <v>25.35913807</v>
      </c>
      <c r="J153" s="12">
        <f t="shared" si="156"/>
        <v>16.30434783</v>
      </c>
      <c r="K153" s="12">
        <f t="shared" si="5"/>
        <v>135.047619</v>
      </c>
      <c r="L153" s="4">
        <f t="shared" si="6"/>
        <v>2.231313926</v>
      </c>
    </row>
    <row r="154">
      <c r="G154" s="11">
        <f t="shared" si="2"/>
        <v>0.01809624105</v>
      </c>
      <c r="H154" s="11">
        <f t="shared" si="3"/>
        <v>0.02375296912</v>
      </c>
      <c r="I154" s="12">
        <f t="shared" ref="I154:J154" si="157">IFERROR(D154/B154*1000,0)</f>
        <v>35.60145286</v>
      </c>
      <c r="J154" s="12">
        <f t="shared" si="157"/>
        <v>23.75296912</v>
      </c>
      <c r="K154" s="12">
        <f t="shared" si="5"/>
        <v>100</v>
      </c>
      <c r="L154" s="4">
        <f t="shared" si="6"/>
        <v>1.207364926</v>
      </c>
    </row>
    <row r="155">
      <c r="G155" s="11">
        <f t="shared" si="2"/>
        <v>0.02299673749</v>
      </c>
      <c r="H155" s="11">
        <f t="shared" si="3"/>
        <v>0.02249134948</v>
      </c>
      <c r="I155" s="12">
        <f t="shared" ref="I155:J155" si="158">IFERROR(D155/B155*1000,0)</f>
        <v>42.4126681</v>
      </c>
      <c r="J155" s="12">
        <f t="shared" si="158"/>
        <v>22.49134948</v>
      </c>
      <c r="K155" s="12">
        <f t="shared" si="5"/>
        <v>191.6923077</v>
      </c>
      <c r="L155" s="4">
        <f t="shared" si="6"/>
        <v>2.337711069</v>
      </c>
    </row>
    <row r="156">
      <c r="G156" s="11">
        <f t="shared" si="2"/>
        <v>0.02036070677</v>
      </c>
      <c r="H156" s="11">
        <f t="shared" si="3"/>
        <v>0.02697841727</v>
      </c>
      <c r="I156" s="12">
        <f t="shared" ref="I156:J156" si="159">IFERROR(D156/B156*1000,0)</f>
        <v>34.53263755</v>
      </c>
      <c r="J156" s="12">
        <f t="shared" si="159"/>
        <v>26.97841727</v>
      </c>
      <c r="K156" s="12">
        <f t="shared" si="5"/>
        <v>109.1</v>
      </c>
      <c r="L156" s="4">
        <f t="shared" si="6"/>
        <v>1.735418876</v>
      </c>
    </row>
    <row r="157">
      <c r="G157" s="11">
        <f t="shared" si="2"/>
        <v>0.02958542214</v>
      </c>
      <c r="H157" s="11">
        <f t="shared" si="3"/>
        <v>0.02097902098</v>
      </c>
      <c r="I157" s="12">
        <f t="shared" ref="I157:J157" si="160">IFERROR(D157/B157*1000,0)</f>
        <v>33.50043765</v>
      </c>
      <c r="J157" s="12">
        <f t="shared" si="160"/>
        <v>20.97902098</v>
      </c>
      <c r="K157" s="12">
        <f t="shared" si="5"/>
        <v>132.9230769</v>
      </c>
      <c r="L157" s="4">
        <f t="shared" si="6"/>
        <v>2.462707838</v>
      </c>
    </row>
    <row r="158">
      <c r="G158" s="11">
        <f t="shared" si="2"/>
        <v>0.01602940027</v>
      </c>
      <c r="H158" s="11">
        <f t="shared" si="3"/>
        <v>0.02195121951</v>
      </c>
      <c r="I158" s="12">
        <f t="shared" ref="I158:J158" si="161">IFERROR(D158/B158*1000,0)</f>
        <v>31.78512784</v>
      </c>
      <c r="J158" s="12">
        <f t="shared" si="161"/>
        <v>21.95121951</v>
      </c>
      <c r="K158" s="12">
        <f t="shared" si="5"/>
        <v>115.3703704</v>
      </c>
      <c r="L158" s="4">
        <f t="shared" si="6"/>
        <v>1.277162772</v>
      </c>
    </row>
    <row r="159">
      <c r="G159" s="11">
        <f t="shared" si="2"/>
        <v>0.02136483599</v>
      </c>
      <c r="H159" s="11">
        <f t="shared" si="3"/>
        <v>0.02222222222</v>
      </c>
      <c r="I159" s="12">
        <f t="shared" ref="I159:J159" si="162">IFERROR(D159/B159*1000,0)</f>
        <v>28.08149358</v>
      </c>
      <c r="J159" s="12">
        <f t="shared" si="162"/>
        <v>22.22222222</v>
      </c>
      <c r="K159" s="12">
        <f t="shared" si="5"/>
        <v>204.9117647</v>
      </c>
      <c r="L159" s="4">
        <f t="shared" si="6"/>
        <v>3.464445549</v>
      </c>
    </row>
    <row r="160">
      <c r="G160" s="11">
        <f t="shared" si="2"/>
        <v>0.02211990682</v>
      </c>
      <c r="H160" s="11">
        <f t="shared" si="3"/>
        <v>0.01589667163</v>
      </c>
      <c r="I160" s="12">
        <f t="shared" ref="I160:J160" si="163">IFERROR(D160/B160*1000,0)</f>
        <v>28.13063162</v>
      </c>
      <c r="J160" s="12">
        <f t="shared" si="163"/>
        <v>15.89667163</v>
      </c>
      <c r="K160" s="12">
        <f t="shared" si="5"/>
        <v>224.625</v>
      </c>
      <c r="L160" s="4">
        <f t="shared" si="6"/>
        <v>2.8078125</v>
      </c>
    </row>
    <row r="161">
      <c r="G161" s="11">
        <f t="shared" si="2"/>
        <v>0.01395854036</v>
      </c>
      <c r="H161" s="11">
        <f t="shared" si="3"/>
        <v>0.01324503311</v>
      </c>
      <c r="I161" s="12">
        <f t="shared" ref="I161:J161" si="164">IFERROR(D161/B161*1000,0)</f>
        <v>22.25509001</v>
      </c>
      <c r="J161" s="12">
        <f t="shared" si="164"/>
        <v>13.24503311</v>
      </c>
      <c r="K161" s="12">
        <f t="shared" si="5"/>
        <v>134.875</v>
      </c>
      <c r="L161" s="4">
        <f t="shared" si="6"/>
        <v>1.120456906</v>
      </c>
    </row>
    <row r="162">
      <c r="G162" s="11">
        <f t="shared" si="2"/>
        <v>0.03013638631</v>
      </c>
      <c r="H162" s="11">
        <f t="shared" si="3"/>
        <v>0.01251513928</v>
      </c>
      <c r="I162" s="12">
        <f t="shared" ref="I162:J162" si="165">IFERROR(D162/B162*1000,0)</f>
        <v>32.66701544</v>
      </c>
      <c r="J162" s="12">
        <f t="shared" si="165"/>
        <v>12.51513928</v>
      </c>
      <c r="K162" s="12">
        <f t="shared" si="5"/>
        <v>125.6451613</v>
      </c>
      <c r="L162" s="4">
        <f t="shared" si="6"/>
        <v>1.450651769</v>
      </c>
    </row>
    <row r="163">
      <c r="G163" s="11">
        <f t="shared" si="2"/>
        <v>0.01239124423</v>
      </c>
      <c r="H163" s="11">
        <f t="shared" si="3"/>
        <v>0.01201716738</v>
      </c>
      <c r="I163" s="12">
        <f t="shared" ref="I163:J163" si="166">IFERROR(D163/B163*1000,0)</f>
        <v>16.09266311</v>
      </c>
      <c r="J163" s="12">
        <f t="shared" si="166"/>
        <v>12.01716738</v>
      </c>
      <c r="K163" s="12">
        <f t="shared" si="5"/>
        <v>194.7857143</v>
      </c>
      <c r="L163" s="4">
        <f t="shared" si="6"/>
        <v>1.802379379</v>
      </c>
    </row>
    <row r="164">
      <c r="G164" s="11">
        <f t="shared" si="2"/>
        <v>0.02178056085</v>
      </c>
      <c r="H164" s="11">
        <f t="shared" si="3"/>
        <v>0.02</v>
      </c>
      <c r="I164" s="12">
        <f t="shared" ref="I164:J164" si="167">IFERROR(D164/B164*1000,0)</f>
        <v>26.02777022</v>
      </c>
      <c r="J164" s="12">
        <f t="shared" si="167"/>
        <v>20</v>
      </c>
      <c r="K164" s="12">
        <f t="shared" si="5"/>
        <v>202</v>
      </c>
      <c r="L164" s="4">
        <f t="shared" si="6"/>
        <v>3.380753138</v>
      </c>
    </row>
    <row r="165">
      <c r="G165" s="11">
        <f t="shared" si="2"/>
        <v>0.03027593572</v>
      </c>
      <c r="H165" s="11">
        <f t="shared" si="3"/>
        <v>0.02461033634</v>
      </c>
      <c r="I165" s="12">
        <f t="shared" ref="I165:J165" si="168">IFERROR(D165/B165*1000,0)</f>
        <v>65.12182401</v>
      </c>
      <c r="J165" s="12">
        <f t="shared" si="168"/>
        <v>24.61033634</v>
      </c>
      <c r="K165" s="12">
        <f t="shared" si="5"/>
        <v>168.5333333</v>
      </c>
      <c r="L165" s="4">
        <f t="shared" si="6"/>
        <v>1.928299008</v>
      </c>
    </row>
    <row r="166">
      <c r="G166" s="11">
        <f t="shared" si="2"/>
        <v>0.01803765479</v>
      </c>
      <c r="H166" s="11">
        <f t="shared" si="3"/>
        <v>0.01926444834</v>
      </c>
      <c r="I166" s="12">
        <f t="shared" ref="I166:J166" si="169">IFERROR(D166/B166*1000,0)</f>
        <v>24.18182967</v>
      </c>
      <c r="J166" s="12">
        <f t="shared" si="169"/>
        <v>19.26444834</v>
      </c>
      <c r="K166" s="12">
        <f t="shared" si="5"/>
        <v>172.5</v>
      </c>
      <c r="L166" s="4">
        <f t="shared" si="6"/>
        <v>2.478772044</v>
      </c>
    </row>
    <row r="167">
      <c r="G167" s="11">
        <f t="shared" si="2"/>
        <v>0.02740220403</v>
      </c>
      <c r="H167" s="11">
        <f t="shared" si="3"/>
        <v>0.02539981185</v>
      </c>
      <c r="I167" s="12">
        <f t="shared" ref="I167:J167" si="170">IFERROR(D167/B167*1000,0)</f>
        <v>34.51698138</v>
      </c>
      <c r="J167" s="12">
        <f t="shared" si="170"/>
        <v>25.39981185</v>
      </c>
      <c r="K167" s="12">
        <f t="shared" si="5"/>
        <v>174.0740741</v>
      </c>
      <c r="L167" s="4">
        <f t="shared" si="6"/>
        <v>3.510082151</v>
      </c>
    </row>
    <row r="168">
      <c r="G168" s="11">
        <f t="shared" si="2"/>
        <v>0.02879408419</v>
      </c>
      <c r="H168" s="11">
        <f t="shared" si="3"/>
        <v>0.01817463453</v>
      </c>
      <c r="I168" s="12">
        <f t="shared" ref="I168:J168" si="171">IFERROR(D168/B168*1000,0)</f>
        <v>53.76564278</v>
      </c>
      <c r="J168" s="12">
        <f t="shared" si="171"/>
        <v>18.17463453</v>
      </c>
      <c r="K168" s="12">
        <f t="shared" si="5"/>
        <v>148.1086957</v>
      </c>
      <c r="L168" s="4">
        <f t="shared" si="6"/>
        <v>1.441599661</v>
      </c>
    </row>
    <row r="169">
      <c r="G169" s="11">
        <f t="shared" si="2"/>
        <v>0.01530849439</v>
      </c>
      <c r="H169" s="11">
        <f t="shared" si="3"/>
        <v>0.01518438178</v>
      </c>
      <c r="I169" s="12">
        <f t="shared" ref="I169:J169" si="172">IFERROR(D169/B169*1000,0)</f>
        <v>22.91293086</v>
      </c>
      <c r="J169" s="12">
        <f t="shared" si="172"/>
        <v>15.18438178</v>
      </c>
      <c r="K169" s="12">
        <f t="shared" si="5"/>
        <v>157.8571429</v>
      </c>
      <c r="L169" s="4">
        <f t="shared" si="6"/>
        <v>1.601449275</v>
      </c>
    </row>
    <row r="170">
      <c r="G170" s="11">
        <f t="shared" si="2"/>
        <v>0.01102532225</v>
      </c>
      <c r="H170" s="11">
        <f t="shared" si="3"/>
        <v>0.0178041543</v>
      </c>
      <c r="I170" s="12">
        <f t="shared" ref="I170:J170" si="173">IFERROR(D170/B170*1000,0)</f>
        <v>23.85002944</v>
      </c>
      <c r="J170" s="12">
        <f t="shared" si="173"/>
        <v>17.8041543</v>
      </c>
      <c r="K170" s="12">
        <f t="shared" si="5"/>
        <v>159.1666667</v>
      </c>
      <c r="L170" s="4">
        <f t="shared" si="6"/>
        <v>1.310013717</v>
      </c>
    </row>
    <row r="171">
      <c r="G171" s="11">
        <f t="shared" si="2"/>
        <v>0.02661057916</v>
      </c>
      <c r="H171" s="11">
        <f t="shared" si="3"/>
        <v>0.01397379913</v>
      </c>
      <c r="I171" s="12">
        <f t="shared" ref="I171:J171" si="174">IFERROR(D171/B171*1000,0)</f>
        <v>30.39881008</v>
      </c>
      <c r="J171" s="12">
        <f t="shared" si="174"/>
        <v>13.97379913</v>
      </c>
      <c r="K171" s="12">
        <f t="shared" si="5"/>
        <v>185.1875</v>
      </c>
      <c r="L171" s="4">
        <f t="shared" si="6"/>
        <v>2.26529052</v>
      </c>
    </row>
    <row r="172">
      <c r="G172" s="11">
        <f t="shared" si="2"/>
        <v>0.02182975176</v>
      </c>
      <c r="H172" s="11">
        <f t="shared" si="3"/>
        <v>0.02650038971</v>
      </c>
      <c r="I172" s="12">
        <f t="shared" ref="I172:J172" si="175">IFERROR(D172/B172*1000,0)</f>
        <v>39.62703963</v>
      </c>
      <c r="J172" s="12">
        <f t="shared" si="175"/>
        <v>26.50038971</v>
      </c>
      <c r="K172" s="12">
        <f t="shared" si="5"/>
        <v>178.9705882</v>
      </c>
      <c r="L172" s="4">
        <f t="shared" si="6"/>
        <v>2.612709317</v>
      </c>
    </row>
    <row r="173">
      <c r="G173" s="11">
        <f t="shared" si="2"/>
        <v>0.02989088993</v>
      </c>
      <c r="H173" s="11">
        <f t="shared" si="3"/>
        <v>0.0185528757</v>
      </c>
      <c r="I173" s="12">
        <f t="shared" ref="I173:J173" si="176">IFERROR(D173/B173*1000,0)</f>
        <v>45.50180926</v>
      </c>
      <c r="J173" s="12">
        <f t="shared" si="176"/>
        <v>18.5528757</v>
      </c>
      <c r="K173" s="12">
        <f t="shared" si="5"/>
        <v>172.6</v>
      </c>
      <c r="L173" s="4">
        <f t="shared" si="6"/>
        <v>2.103595369</v>
      </c>
    </row>
    <row r="174">
      <c r="G174" s="11">
        <f t="shared" si="2"/>
        <v>0.0277331581</v>
      </c>
      <c r="H174" s="11">
        <f t="shared" si="3"/>
        <v>0.0175515577</v>
      </c>
      <c r="I174" s="12">
        <f t="shared" ref="I174:J174" si="177">IFERROR(D174/B174*1000,0)</f>
        <v>49.64953271</v>
      </c>
      <c r="J174" s="12">
        <f t="shared" si="177"/>
        <v>17.5515577</v>
      </c>
      <c r="K174" s="12">
        <f t="shared" si="5"/>
        <v>151.95</v>
      </c>
      <c r="L174" s="4">
        <f t="shared" si="6"/>
        <v>1.489705882</v>
      </c>
    </row>
    <row r="175">
      <c r="G175" s="11">
        <f t="shared" si="2"/>
        <v>0.01466132044</v>
      </c>
      <c r="H175" s="11">
        <f t="shared" si="3"/>
        <v>0.02192066806</v>
      </c>
      <c r="I175" s="12">
        <f t="shared" ref="I175:J175" si="178">IFERROR(D175/B175*1000,0)</f>
        <v>29.64402681</v>
      </c>
      <c r="J175" s="12">
        <f t="shared" si="178"/>
        <v>21.92066806</v>
      </c>
      <c r="K175" s="12">
        <f t="shared" si="5"/>
        <v>167.6190476</v>
      </c>
      <c r="L175" s="4">
        <f t="shared" si="6"/>
        <v>1.81724316</v>
      </c>
    </row>
    <row r="176">
      <c r="G176" s="11">
        <f t="shared" si="2"/>
        <v>0.01263389179</v>
      </c>
      <c r="H176" s="11">
        <f t="shared" si="3"/>
        <v>0.02053140097</v>
      </c>
      <c r="I176" s="12">
        <f t="shared" ref="I176:J176" si="179">IFERROR(D176/B176*1000,0)</f>
        <v>22.24663554</v>
      </c>
      <c r="J176" s="12">
        <f t="shared" si="179"/>
        <v>20.53140097</v>
      </c>
      <c r="K176" s="12">
        <f t="shared" si="5"/>
        <v>131.9411765</v>
      </c>
      <c r="L176" s="4">
        <f t="shared" si="6"/>
        <v>1.538408779</v>
      </c>
    </row>
    <row r="177">
      <c r="G177" s="11">
        <f t="shared" si="2"/>
        <v>0.01580216343</v>
      </c>
      <c r="H177" s="11">
        <f t="shared" si="3"/>
        <v>0.01649484536</v>
      </c>
      <c r="I177" s="12">
        <f t="shared" ref="I177:J177" si="180">IFERROR(D177/B177*1000,0)</f>
        <v>20.20070377</v>
      </c>
      <c r="J177" s="12">
        <f t="shared" si="180"/>
        <v>16.49484536</v>
      </c>
      <c r="K177" s="12">
        <f t="shared" si="5"/>
        <v>202</v>
      </c>
      <c r="L177" s="4">
        <f t="shared" si="6"/>
        <v>2.606451613</v>
      </c>
    </row>
    <row r="178">
      <c r="G178" s="11">
        <f t="shared" si="2"/>
        <v>0.01667272213</v>
      </c>
      <c r="H178" s="11">
        <f t="shared" si="3"/>
        <v>0.02259887006</v>
      </c>
      <c r="I178" s="12">
        <f t="shared" ref="I178:J178" si="181">IFERROR(D178/B178*1000,0)</f>
        <v>27.94934937</v>
      </c>
      <c r="J178" s="12">
        <f t="shared" si="181"/>
        <v>22.59887006</v>
      </c>
      <c r="K178" s="12">
        <f t="shared" si="5"/>
        <v>165.7857143</v>
      </c>
      <c r="L178" s="4">
        <f t="shared" si="6"/>
        <v>2.234954261</v>
      </c>
    </row>
    <row r="179">
      <c r="G179" s="11">
        <f t="shared" si="2"/>
        <v>0.0257159345</v>
      </c>
      <c r="H179" s="11">
        <f t="shared" si="3"/>
        <v>0.02103786816</v>
      </c>
      <c r="I179" s="12">
        <f t="shared" ref="I179:J179" si="182">IFERROR(D179/B179*1000,0)</f>
        <v>51.35973455</v>
      </c>
      <c r="J179" s="12">
        <f t="shared" si="182"/>
        <v>21.03786816</v>
      </c>
      <c r="K179" s="12">
        <f t="shared" si="5"/>
        <v>147.8</v>
      </c>
      <c r="L179" s="4">
        <f t="shared" si="6"/>
        <v>1.556882022</v>
      </c>
    </row>
    <row r="180">
      <c r="G180" s="11">
        <f t="shared" si="2"/>
        <v>0.02071121532</v>
      </c>
      <c r="H180" s="11">
        <f t="shared" si="3"/>
        <v>0.01886792453</v>
      </c>
      <c r="I180" s="12">
        <f t="shared" ref="I180:J180" si="183">IFERROR(D180/B180*1000,0)</f>
        <v>37.51465416</v>
      </c>
      <c r="J180" s="12">
        <f t="shared" si="183"/>
        <v>18.86792453</v>
      </c>
      <c r="K180" s="12">
        <f t="shared" si="5"/>
        <v>172.1111111</v>
      </c>
      <c r="L180" s="4">
        <f t="shared" si="6"/>
        <v>1.792824074</v>
      </c>
    </row>
    <row r="181">
      <c r="G181" s="11">
        <f t="shared" si="2"/>
        <v>0.01523414776</v>
      </c>
      <c r="H181" s="11">
        <f t="shared" si="3"/>
        <v>0.0214797136</v>
      </c>
      <c r="I181" s="12">
        <f t="shared" ref="I181:J181" si="184">IFERROR(D181/B181*1000,0)</f>
        <v>17.19749855</v>
      </c>
      <c r="J181" s="12">
        <f t="shared" si="184"/>
        <v>21.4797136</v>
      </c>
      <c r="K181" s="12">
        <f t="shared" si="5"/>
        <v>164.3333333</v>
      </c>
      <c r="L181" s="4">
        <f t="shared" si="6"/>
        <v>3.126849894</v>
      </c>
    </row>
    <row r="182">
      <c r="G182" s="11">
        <f t="shared" si="2"/>
        <v>0.02033677507</v>
      </c>
      <c r="H182" s="11">
        <f t="shared" si="3"/>
        <v>0.02016607355</v>
      </c>
      <c r="I182" s="12">
        <f t="shared" ref="I182:J182" si="185">IFERROR(D182/B182*1000,0)</f>
        <v>39.46733571</v>
      </c>
      <c r="J182" s="12">
        <f t="shared" si="185"/>
        <v>20.16607355</v>
      </c>
      <c r="K182" s="12">
        <f t="shared" si="5"/>
        <v>149.2352941</v>
      </c>
      <c r="L182" s="4">
        <f t="shared" si="6"/>
        <v>1.550733496</v>
      </c>
    </row>
    <row r="183">
      <c r="G183" s="11">
        <f t="shared" si="2"/>
        <v>0.02793714143</v>
      </c>
      <c r="H183" s="11">
        <f t="shared" si="3"/>
        <v>0.01955782313</v>
      </c>
      <c r="I183" s="12">
        <f t="shared" ref="I183:J183" si="186">IFERROR(D183/B183*1000,0)</f>
        <v>38.76991056</v>
      </c>
      <c r="J183" s="12">
        <f t="shared" si="186"/>
        <v>19.55782313</v>
      </c>
      <c r="K183" s="12">
        <f t="shared" si="5"/>
        <v>177.3478261</v>
      </c>
      <c r="L183" s="4">
        <f t="shared" si="6"/>
        <v>2.499387255</v>
      </c>
    </row>
    <row r="184">
      <c r="G184" s="11">
        <f t="shared" si="2"/>
        <v>0.02505112474</v>
      </c>
      <c r="H184" s="11">
        <f t="shared" si="3"/>
        <v>0.02197802198</v>
      </c>
      <c r="I184" s="12">
        <f t="shared" ref="I184:J184" si="187">IFERROR(D184/B184*1000,0)</f>
        <v>25.91631273</v>
      </c>
      <c r="J184" s="12">
        <f t="shared" si="187"/>
        <v>21.97802198</v>
      </c>
      <c r="K184" s="12">
        <f t="shared" si="5"/>
        <v>163.5714286</v>
      </c>
      <c r="L184" s="4">
        <f t="shared" si="6"/>
        <v>3.474962064</v>
      </c>
    </row>
    <row r="185">
      <c r="G185" s="11">
        <f t="shared" si="2"/>
        <v>0.01928882651</v>
      </c>
      <c r="H185" s="11">
        <f t="shared" si="3"/>
        <v>0.01353637902</v>
      </c>
      <c r="I185" s="12">
        <f t="shared" ref="I185:J185" si="188">IFERROR(D185/B185*1000,0)</f>
        <v>35.88505034</v>
      </c>
      <c r="J185" s="12">
        <f t="shared" si="188"/>
        <v>13.53637902</v>
      </c>
      <c r="K185" s="12">
        <f t="shared" si="5"/>
        <v>153.625</v>
      </c>
      <c r="L185" s="4">
        <f t="shared" si="6"/>
        <v>1.117780809</v>
      </c>
    </row>
    <row r="186">
      <c r="G186" s="11">
        <f t="shared" si="2"/>
        <v>0.01748094394</v>
      </c>
      <c r="H186" s="11">
        <f t="shared" si="3"/>
        <v>0.01448109413</v>
      </c>
      <c r="I186" s="12">
        <f t="shared" ref="I186:J186" si="189">IFERROR(D186/B186*1000,0)</f>
        <v>19.35139088</v>
      </c>
      <c r="J186" s="12">
        <f t="shared" si="189"/>
        <v>14.48109413</v>
      </c>
      <c r="K186" s="12">
        <f t="shared" si="5"/>
        <v>176.7222222</v>
      </c>
      <c r="L186" s="4">
        <f t="shared" si="6"/>
        <v>2.311773256</v>
      </c>
    </row>
    <row r="187">
      <c r="G187" s="11">
        <f t="shared" si="2"/>
        <v>0.02570012029</v>
      </c>
      <c r="H187" s="11">
        <f t="shared" si="3"/>
        <v>0.01224846894</v>
      </c>
      <c r="I187" s="12">
        <f t="shared" ref="I187:J187" si="190">IFERROR(D187/B187*1000,0)</f>
        <v>40.31523682</v>
      </c>
      <c r="J187" s="12">
        <f t="shared" si="190"/>
        <v>12.24846894</v>
      </c>
      <c r="K187" s="12">
        <f t="shared" si="5"/>
        <v>161.3928571</v>
      </c>
      <c r="L187" s="4">
        <f t="shared" si="6"/>
        <v>1.260178472</v>
      </c>
    </row>
    <row r="188">
      <c r="G188" s="11">
        <f t="shared" si="2"/>
        <v>0.02089392316</v>
      </c>
      <c r="H188" s="11">
        <f t="shared" si="3"/>
        <v>0.01282051282</v>
      </c>
      <c r="I188" s="12">
        <f t="shared" ref="I188:J188" si="191">IFERROR(D188/B188*1000,0)</f>
        <v>28.96831471</v>
      </c>
      <c r="J188" s="12">
        <f t="shared" si="191"/>
        <v>12.82051282</v>
      </c>
      <c r="K188" s="12">
        <f t="shared" si="5"/>
        <v>127.5714286</v>
      </c>
      <c r="L188" s="4">
        <f t="shared" si="6"/>
        <v>1.179656539</v>
      </c>
    </row>
    <row r="189">
      <c r="G189" s="11">
        <f t="shared" si="2"/>
        <v>0.02744889464</v>
      </c>
      <c r="H189" s="11">
        <f t="shared" si="3"/>
        <v>0.02190395956</v>
      </c>
      <c r="I189" s="12">
        <f t="shared" ref="I189:J189" si="192">IFERROR(D189/B189*1000,0)</f>
        <v>42.29488484</v>
      </c>
      <c r="J189" s="12">
        <f t="shared" si="192"/>
        <v>21.90395956</v>
      </c>
      <c r="K189" s="12">
        <f t="shared" si="5"/>
        <v>158.3461538</v>
      </c>
      <c r="L189" s="4">
        <f t="shared" si="6"/>
        <v>2.250956807</v>
      </c>
    </row>
    <row r="190">
      <c r="G190" s="11">
        <f t="shared" si="2"/>
        <v>0.0177693413</v>
      </c>
      <c r="H190" s="11">
        <f t="shared" si="3"/>
        <v>0.02299703264</v>
      </c>
      <c r="I190" s="12">
        <f t="shared" ref="I190:J190" si="193">IFERROR(D190/B190*1000,0)</f>
        <v>36.32960283</v>
      </c>
      <c r="J190" s="12">
        <f t="shared" si="193"/>
        <v>22.99703264</v>
      </c>
      <c r="K190" s="12">
        <f t="shared" si="5"/>
        <v>99.5483871</v>
      </c>
      <c r="L190" s="4">
        <f t="shared" si="6"/>
        <v>1.119738752</v>
      </c>
    </row>
    <row r="191">
      <c r="G191" s="11">
        <f t="shared" si="2"/>
        <v>0.01676153746</v>
      </c>
      <c r="H191" s="11">
        <f t="shared" si="3"/>
        <v>0.01880530973</v>
      </c>
      <c r="I191" s="12">
        <f t="shared" ref="I191:J191" si="194">IFERROR(D191/B191*1000,0)</f>
        <v>28.68373723</v>
      </c>
      <c r="J191" s="12">
        <f t="shared" si="194"/>
        <v>18.80530973</v>
      </c>
      <c r="K191" s="12">
        <f t="shared" si="5"/>
        <v>109.5294118</v>
      </c>
      <c r="L191" s="4">
        <f t="shared" si="6"/>
        <v>1.20361991</v>
      </c>
    </row>
    <row r="192">
      <c r="G192" s="11">
        <f t="shared" si="2"/>
        <v>0.02697171111</v>
      </c>
      <c r="H192" s="11">
        <f t="shared" si="3"/>
        <v>0.01202103681</v>
      </c>
      <c r="I192" s="12">
        <f t="shared" ref="I192:J192" si="195">IFERROR(D192/B192*1000,0)</f>
        <v>37.52938316</v>
      </c>
      <c r="J192" s="12">
        <f t="shared" si="195"/>
        <v>12.02103681</v>
      </c>
      <c r="K192" s="12">
        <f t="shared" si="5"/>
        <v>138.9375</v>
      </c>
      <c r="L192" s="4">
        <f t="shared" si="6"/>
        <v>1.200323974</v>
      </c>
    </row>
    <row r="193">
      <c r="G193" s="11">
        <f t="shared" si="2"/>
        <v>0.01356179366</v>
      </c>
      <c r="H193" s="11">
        <f t="shared" si="3"/>
        <v>0.01523297491</v>
      </c>
      <c r="I193" s="12">
        <f t="shared" ref="I193:J193" si="196">IFERROR(D193/B193*1000,0)</f>
        <v>18.75075951</v>
      </c>
      <c r="J193" s="12">
        <f t="shared" si="196"/>
        <v>15.23297491</v>
      </c>
      <c r="K193" s="12">
        <f t="shared" si="5"/>
        <v>167</v>
      </c>
      <c r="L193" s="4">
        <f t="shared" si="6"/>
        <v>1.839922229</v>
      </c>
    </row>
    <row r="194">
      <c r="G194" s="11">
        <f t="shared" si="2"/>
        <v>0.03115659813</v>
      </c>
      <c r="H194" s="11">
        <f t="shared" si="3"/>
        <v>0.02289244186</v>
      </c>
      <c r="I194" s="12">
        <f t="shared" ref="I194:J194" si="197">IFERROR(D194/B194*1000,0)</f>
        <v>38.08531836</v>
      </c>
      <c r="J194" s="12">
        <f t="shared" si="197"/>
        <v>22.89244186</v>
      </c>
      <c r="K194" s="12">
        <f t="shared" si="5"/>
        <v>161.2698413</v>
      </c>
      <c r="L194" s="4">
        <f t="shared" si="6"/>
        <v>3.020214031</v>
      </c>
    </row>
    <row r="195">
      <c r="G195" s="11">
        <f t="shared" si="2"/>
        <v>0.03019928462</v>
      </c>
      <c r="H195" s="11">
        <f t="shared" si="3"/>
        <v>0.01776649746</v>
      </c>
      <c r="I195" s="12">
        <f t="shared" ref="I195:J195" si="198">IFERROR(D195/B195*1000,0)</f>
        <v>46.06540623</v>
      </c>
      <c r="J195" s="12">
        <f t="shared" si="198"/>
        <v>17.76649746</v>
      </c>
      <c r="K195" s="12">
        <f t="shared" si="5"/>
        <v>210.1428571</v>
      </c>
      <c r="L195" s="4">
        <f t="shared" si="6"/>
        <v>2.447587354</v>
      </c>
    </row>
    <row r="196">
      <c r="G196" s="11">
        <f t="shared" si="2"/>
        <v>0.01317576745</v>
      </c>
      <c r="H196" s="11">
        <f t="shared" si="3"/>
        <v>0.0206185567</v>
      </c>
      <c r="I196" s="12">
        <f t="shared" ref="I196:J196" si="199">IFERROR(D196/B196*1000,0)</f>
        <v>21.09287073</v>
      </c>
      <c r="J196" s="12">
        <f t="shared" si="199"/>
        <v>20.6185567</v>
      </c>
      <c r="K196" s="12">
        <f t="shared" si="5"/>
        <v>200</v>
      </c>
      <c r="L196" s="4">
        <f t="shared" si="6"/>
        <v>2.575896964</v>
      </c>
    </row>
    <row r="197">
      <c r="G197" s="11">
        <f t="shared" si="2"/>
        <v>0.01742697588</v>
      </c>
      <c r="H197" s="11">
        <f t="shared" si="3"/>
        <v>0.01975945017</v>
      </c>
      <c r="I197" s="12">
        <f t="shared" ref="I197:J197" si="200">IFERROR(D197/B197*1000,0)</f>
        <v>32.24888836</v>
      </c>
      <c r="J197" s="12">
        <f t="shared" si="200"/>
        <v>19.75945017</v>
      </c>
      <c r="K197" s="12">
        <f t="shared" si="5"/>
        <v>154.6086957</v>
      </c>
      <c r="L197" s="4">
        <f t="shared" si="6"/>
        <v>1.65088208</v>
      </c>
    </row>
    <row r="198">
      <c r="G198" s="11">
        <f t="shared" si="2"/>
        <v>0.02583516652</v>
      </c>
      <c r="H198" s="11">
        <f t="shared" si="3"/>
        <v>0.02623762376</v>
      </c>
      <c r="I198" s="12">
        <f t="shared" ref="I198:J198" si="201">IFERROR(D198/B198*1000,0)</f>
        <v>45.44175577</v>
      </c>
      <c r="J198" s="12">
        <f t="shared" si="201"/>
        <v>26.23762376</v>
      </c>
      <c r="K198" s="12">
        <f t="shared" si="5"/>
        <v>119.5660377</v>
      </c>
      <c r="L198" s="4">
        <f t="shared" si="6"/>
        <v>1.783563186</v>
      </c>
    </row>
    <row r="199">
      <c r="G199" s="11">
        <f t="shared" si="2"/>
        <v>0.0275506188</v>
      </c>
      <c r="H199" s="11">
        <f t="shared" si="3"/>
        <v>0.01666666667</v>
      </c>
      <c r="I199" s="12">
        <f t="shared" ref="I199:J199" si="202">IFERROR(D199/B199*1000,0)</f>
        <v>37.82743692</v>
      </c>
      <c r="J199" s="12">
        <f t="shared" si="202"/>
        <v>16.66666667</v>
      </c>
      <c r="K199" s="12">
        <f t="shared" si="5"/>
        <v>193.5238095</v>
      </c>
      <c r="L199" s="4">
        <f t="shared" si="6"/>
        <v>2.349132948</v>
      </c>
    </row>
    <row r="200">
      <c r="G200" s="11">
        <f t="shared" si="2"/>
        <v>0.02129478827</v>
      </c>
      <c r="H200" s="11">
        <f t="shared" si="3"/>
        <v>0.01402166985</v>
      </c>
      <c r="I200" s="12">
        <f t="shared" ref="I200:J200" si="203">IFERROR(D200/B200*1000,0)</f>
        <v>44.082519</v>
      </c>
      <c r="J200" s="12">
        <f t="shared" si="203"/>
        <v>14.02166985</v>
      </c>
      <c r="K200" s="12">
        <f t="shared" si="5"/>
        <v>119.3636364</v>
      </c>
      <c r="L200" s="4">
        <f t="shared" si="6"/>
        <v>0.8084975369</v>
      </c>
    </row>
    <row r="201">
      <c r="G201" s="11">
        <f t="shared" si="2"/>
        <v>0.01432295964</v>
      </c>
      <c r="H201" s="11">
        <f t="shared" si="3"/>
        <v>0.02534562212</v>
      </c>
      <c r="I201" s="12">
        <f t="shared" ref="I201:J201" si="204">IFERROR(D201/B201*1000,0)</f>
        <v>17.4581697</v>
      </c>
      <c r="J201" s="12">
        <f t="shared" si="204"/>
        <v>25.34562212</v>
      </c>
      <c r="K201" s="12">
        <f t="shared" si="5"/>
        <v>131.0909091</v>
      </c>
      <c r="L201" s="4">
        <f t="shared" si="6"/>
        <v>2.725897921</v>
      </c>
    </row>
    <row r="202">
      <c r="G202" s="11">
        <f t="shared" si="2"/>
        <v>0.03275879115</v>
      </c>
      <c r="H202" s="11">
        <f t="shared" si="3"/>
        <v>0.01207243461</v>
      </c>
      <c r="I202" s="12">
        <f t="shared" ref="I202:J202" si="205">IFERROR(D202/B202*1000,0)</f>
        <v>47.12783838</v>
      </c>
      <c r="J202" s="12">
        <f t="shared" si="205"/>
        <v>12.07243461</v>
      </c>
      <c r="K202" s="12">
        <f t="shared" si="5"/>
        <v>170.5833333</v>
      </c>
      <c r="L202" s="4">
        <f t="shared" si="6"/>
        <v>1.431468531</v>
      </c>
    </row>
    <row r="203">
      <c r="G203" s="11">
        <f t="shared" si="2"/>
        <v>0.0124450613</v>
      </c>
      <c r="H203" s="11">
        <f t="shared" si="3"/>
        <v>0.02602230483</v>
      </c>
      <c r="I203" s="12">
        <f t="shared" ref="I203:J203" si="206">IFERROR(D203/B203*1000,0)</f>
        <v>16.33125145</v>
      </c>
      <c r="J203" s="12">
        <f t="shared" si="206"/>
        <v>26.02230483</v>
      </c>
      <c r="K203" s="12">
        <f t="shared" si="5"/>
        <v>129.8571429</v>
      </c>
      <c r="L203" s="4">
        <f t="shared" si="6"/>
        <v>2.575070822</v>
      </c>
    </row>
    <row r="204">
      <c r="G204" s="11">
        <f t="shared" si="2"/>
        <v>0.01765566728</v>
      </c>
      <c r="H204" s="11">
        <f t="shared" si="3"/>
        <v>0.01336898396</v>
      </c>
      <c r="I204" s="12">
        <f t="shared" ref="I204:J204" si="207">IFERROR(D204/B204*1000,0)</f>
        <v>31.67634424</v>
      </c>
      <c r="J204" s="12">
        <f t="shared" si="207"/>
        <v>13.36898396</v>
      </c>
      <c r="K204" s="12">
        <f t="shared" si="5"/>
        <v>118</v>
      </c>
      <c r="L204" s="4">
        <f t="shared" si="6"/>
        <v>0.8792846498</v>
      </c>
    </row>
    <row r="205">
      <c r="G205" s="11">
        <f t="shared" si="2"/>
        <v>0.02251292972</v>
      </c>
      <c r="H205" s="11">
        <f t="shared" si="3"/>
        <v>0.02162162162</v>
      </c>
      <c r="I205" s="12">
        <f t="shared" ref="I205:J205" si="208">IFERROR(D205/B205*1000,0)</f>
        <v>41.13173106</v>
      </c>
      <c r="J205" s="12">
        <f t="shared" si="208"/>
        <v>21.62162162</v>
      </c>
      <c r="K205" s="12">
        <f t="shared" si="5"/>
        <v>191.5</v>
      </c>
      <c r="L205" s="4">
        <f t="shared" si="6"/>
        <v>2.266272189</v>
      </c>
    </row>
    <row r="206">
      <c r="G206" s="11">
        <f t="shared" si="2"/>
        <v>0.02416088798</v>
      </c>
      <c r="H206" s="11">
        <f t="shared" si="3"/>
        <v>0.01575931232</v>
      </c>
      <c r="I206" s="12">
        <f t="shared" ref="I206:J206" si="209">IFERROR(D206/B206*1000,0)</f>
        <v>25.7070002</v>
      </c>
      <c r="J206" s="12">
        <f t="shared" si="209"/>
        <v>15.75931232</v>
      </c>
      <c r="K206" s="12">
        <f t="shared" si="5"/>
        <v>113</v>
      </c>
      <c r="L206" s="4">
        <f t="shared" si="6"/>
        <v>1.673698384</v>
      </c>
    </row>
    <row r="207">
      <c r="G207" s="11">
        <f t="shared" si="2"/>
        <v>0.01039110983</v>
      </c>
      <c r="H207" s="11">
        <f t="shared" si="3"/>
        <v>0.02083333333</v>
      </c>
      <c r="I207" s="12">
        <f t="shared" ref="I207:J207" si="210">IFERROR(D207/B207*1000,0)</f>
        <v>12.60403137</v>
      </c>
      <c r="J207" s="12">
        <f t="shared" si="210"/>
        <v>20.83333333</v>
      </c>
      <c r="K207" s="12">
        <f t="shared" si="5"/>
        <v>170.1111111</v>
      </c>
      <c r="L207" s="4">
        <f t="shared" si="6"/>
        <v>2.921755725</v>
      </c>
    </row>
    <row r="208">
      <c r="G208" s="11">
        <f t="shared" si="2"/>
        <v>0.01874525951</v>
      </c>
      <c r="H208" s="11">
        <f t="shared" si="3"/>
        <v>0.02312138728</v>
      </c>
      <c r="I208" s="12">
        <f t="shared" ref="I208:J208" si="211">IFERROR(D208/B208*1000,0)</f>
        <v>26.92599415</v>
      </c>
      <c r="J208" s="12">
        <f t="shared" si="211"/>
        <v>23.12138728</v>
      </c>
      <c r="K208" s="12">
        <f t="shared" si="5"/>
        <v>145.5</v>
      </c>
      <c r="L208" s="4">
        <f t="shared" si="6"/>
        <v>2.342052314</v>
      </c>
    </row>
    <row r="209">
      <c r="G209" s="11">
        <f t="shared" si="2"/>
        <v>0.03121167768</v>
      </c>
      <c r="H209" s="11">
        <f t="shared" si="3"/>
        <v>0.01330798479</v>
      </c>
      <c r="I209" s="12">
        <f t="shared" ref="I209:J209" si="212">IFERROR(D209/B209*1000,0)</f>
        <v>57.16207128</v>
      </c>
      <c r="J209" s="12">
        <f t="shared" si="212"/>
        <v>13.30798479</v>
      </c>
      <c r="K209" s="12">
        <f t="shared" si="5"/>
        <v>132.7619048</v>
      </c>
      <c r="L209" s="4">
        <f t="shared" si="6"/>
        <v>0.9647058824</v>
      </c>
    </row>
    <row r="210">
      <c r="G210" s="11">
        <f t="shared" si="2"/>
        <v>0.01327584113</v>
      </c>
      <c r="H210" s="11">
        <f t="shared" si="3"/>
        <v>0.01829826167</v>
      </c>
      <c r="I210" s="12">
        <f t="shared" ref="I210:J210" si="213">IFERROR(D210/B210*1000,0)</f>
        <v>26.12656383</v>
      </c>
      <c r="J210" s="12">
        <f t="shared" si="213"/>
        <v>18.29826167</v>
      </c>
      <c r="K210" s="12">
        <f t="shared" si="5"/>
        <v>115.65</v>
      </c>
      <c r="L210" s="4">
        <f t="shared" si="6"/>
        <v>1.075313808</v>
      </c>
    </row>
    <row r="211">
      <c r="G211" s="11">
        <f t="shared" si="2"/>
        <v>0.02537915539</v>
      </c>
      <c r="H211" s="11">
        <f t="shared" si="3"/>
        <v>0.01710261569</v>
      </c>
      <c r="I211" s="12">
        <f t="shared" ref="I211:J211" si="214">IFERROR(D211/B211*1000,0)</f>
        <v>31.60904866</v>
      </c>
      <c r="J211" s="12">
        <f t="shared" si="214"/>
        <v>17.10261569</v>
      </c>
      <c r="K211" s="12">
        <f t="shared" si="5"/>
        <v>162.7058824</v>
      </c>
      <c r="L211" s="4">
        <f t="shared" si="6"/>
        <v>2.234248788</v>
      </c>
    </row>
    <row r="212">
      <c r="G212" s="11">
        <f t="shared" si="2"/>
        <v>0.01681448996</v>
      </c>
      <c r="H212" s="11">
        <f t="shared" si="3"/>
        <v>0.01520467836</v>
      </c>
      <c r="I212" s="12">
        <f t="shared" ref="I212:J212" si="215">IFERROR(D212/B212*1000,0)</f>
        <v>17.48313634</v>
      </c>
      <c r="J212" s="12">
        <f t="shared" si="215"/>
        <v>15.20467836</v>
      </c>
      <c r="K212" s="12">
        <f t="shared" si="5"/>
        <v>169.5384615</v>
      </c>
      <c r="L212" s="4">
        <f t="shared" si="6"/>
        <v>2.479190101</v>
      </c>
    </row>
    <row r="213">
      <c r="G213" s="11">
        <f t="shared" si="2"/>
        <v>0.02274005625</v>
      </c>
      <c r="H213" s="11">
        <f t="shared" si="3"/>
        <v>0.02120141343</v>
      </c>
      <c r="I213" s="12">
        <f t="shared" ref="I213:J213" si="216">IFERROR(D213/B213*1000,0)</f>
        <v>43.92661042</v>
      </c>
      <c r="J213" s="12">
        <f t="shared" si="216"/>
        <v>21.20141343</v>
      </c>
      <c r="K213" s="12">
        <f t="shared" si="5"/>
        <v>165.2777778</v>
      </c>
      <c r="L213" s="4">
        <f t="shared" si="6"/>
        <v>1.81402439</v>
      </c>
    </row>
    <row r="214">
      <c r="G214" s="11">
        <f t="shared" si="2"/>
        <v>0.01655692888</v>
      </c>
      <c r="H214" s="11">
        <f t="shared" si="3"/>
        <v>0.01511627907</v>
      </c>
      <c r="I214" s="12">
        <f t="shared" ref="I214:J214" si="217">IFERROR(D214/B214*1000,0)</f>
        <v>22.39035848</v>
      </c>
      <c r="J214" s="12">
        <f t="shared" si="217"/>
        <v>15.11627907</v>
      </c>
      <c r="K214" s="12">
        <f t="shared" si="5"/>
        <v>165.9230769</v>
      </c>
      <c r="L214" s="4">
        <f t="shared" si="6"/>
        <v>1.854686156</v>
      </c>
    </row>
    <row r="215">
      <c r="G215" s="11">
        <f t="shared" si="2"/>
        <v>0.01519681591</v>
      </c>
      <c r="H215" s="11">
        <f t="shared" si="3"/>
        <v>0.02380952381</v>
      </c>
      <c r="I215" s="12">
        <f t="shared" ref="I215:J215" si="218">IFERROR(D215/B215*1000,0)</f>
        <v>17.92005485</v>
      </c>
      <c r="J215" s="12">
        <f t="shared" si="218"/>
        <v>23.80952381</v>
      </c>
      <c r="K215" s="12">
        <f t="shared" si="5"/>
        <v>125.4210526</v>
      </c>
      <c r="L215" s="4">
        <f t="shared" si="6"/>
        <v>2.532412327</v>
      </c>
    </row>
    <row r="216">
      <c r="G216" s="11">
        <f t="shared" si="2"/>
        <v>0.02724414466</v>
      </c>
      <c r="H216" s="11">
        <f t="shared" si="3"/>
        <v>0.02389425521</v>
      </c>
      <c r="I216" s="12">
        <f t="shared" ref="I216:J216" si="219">IFERROR(D216/B216*1000,0)</f>
        <v>39.75124309</v>
      </c>
      <c r="J216" s="12">
        <f t="shared" si="219"/>
        <v>23.89425521</v>
      </c>
      <c r="K216" s="12">
        <f t="shared" si="5"/>
        <v>137.4468085</v>
      </c>
      <c r="L216" s="4">
        <f t="shared" si="6"/>
        <v>2.25087108</v>
      </c>
    </row>
    <row r="217">
      <c r="G217" s="11">
        <f t="shared" si="2"/>
        <v>0.01774150839</v>
      </c>
      <c r="H217" s="11">
        <f t="shared" si="3"/>
        <v>0.01763907734</v>
      </c>
      <c r="I217" s="12">
        <f t="shared" ref="I217:J217" si="220">IFERROR(D217/B217*1000,0)</f>
        <v>30.95736742</v>
      </c>
      <c r="J217" s="12">
        <f t="shared" si="220"/>
        <v>17.63907734</v>
      </c>
      <c r="K217" s="12">
        <f t="shared" si="5"/>
        <v>159.7692308</v>
      </c>
      <c r="L217" s="4">
        <f t="shared" si="6"/>
        <v>1.615085537</v>
      </c>
    </row>
    <row r="218">
      <c r="G218" s="11">
        <f t="shared" si="2"/>
        <v>0.02325955303</v>
      </c>
      <c r="H218" s="11">
        <f t="shared" si="3"/>
        <v>0.01728110599</v>
      </c>
      <c r="I218" s="12">
        <f t="shared" ref="I218:J218" si="221">IFERROR(D218/B218*1000,0)</f>
        <v>36.38994587</v>
      </c>
      <c r="J218" s="12">
        <f t="shared" si="221"/>
        <v>17.28110599</v>
      </c>
      <c r="K218" s="12">
        <f t="shared" si="5"/>
        <v>132.9333333</v>
      </c>
      <c r="L218" s="4">
        <f t="shared" si="6"/>
        <v>1.468335788</v>
      </c>
    </row>
    <row r="219">
      <c r="G219" s="11">
        <f t="shared" si="2"/>
        <v>0.01445499241</v>
      </c>
      <c r="H219" s="11">
        <f t="shared" si="3"/>
        <v>0.02194357367</v>
      </c>
      <c r="I219" s="12">
        <f t="shared" ref="I219:J219" si="222">IFERROR(D219/B219*1000,0)</f>
        <v>15.54251535</v>
      </c>
      <c r="J219" s="12">
        <f t="shared" si="222"/>
        <v>21.94357367</v>
      </c>
      <c r="K219" s="12">
        <f t="shared" si="5"/>
        <v>133.5</v>
      </c>
      <c r="L219" s="4">
        <f t="shared" si="6"/>
        <v>2.724489796</v>
      </c>
    </row>
    <row r="220">
      <c r="G220" s="11">
        <f t="shared" si="2"/>
        <v>0.0347689738</v>
      </c>
      <c r="H220" s="11">
        <f t="shared" si="3"/>
        <v>0.02009803922</v>
      </c>
      <c r="I220" s="12">
        <f t="shared" ref="I220:J220" si="223">IFERROR(D220/B220*1000,0)</f>
        <v>57.8630716</v>
      </c>
      <c r="J220" s="12">
        <f t="shared" si="223"/>
        <v>20.09803922</v>
      </c>
      <c r="K220" s="12">
        <f t="shared" si="5"/>
        <v>191.7804878</v>
      </c>
      <c r="L220" s="4">
        <f t="shared" si="6"/>
        <v>2.316053019</v>
      </c>
    </row>
    <row r="221">
      <c r="G221" s="11">
        <f t="shared" si="2"/>
        <v>0.0155104712</v>
      </c>
      <c r="H221" s="11">
        <f t="shared" si="3"/>
        <v>0.0198915009</v>
      </c>
      <c r="I221" s="12">
        <f t="shared" ref="I221:J221" si="224">IFERROR(D221/B221*1000,0)</f>
        <v>17.79169783</v>
      </c>
      <c r="J221" s="12">
        <f t="shared" si="224"/>
        <v>19.8915009</v>
      </c>
      <c r="K221" s="12">
        <f t="shared" si="5"/>
        <v>132.969697</v>
      </c>
      <c r="L221" s="4">
        <f t="shared" si="6"/>
        <v>2.305832895</v>
      </c>
    </row>
    <row r="222">
      <c r="G222" s="11">
        <f t="shared" si="2"/>
        <v>0.009970313113</v>
      </c>
      <c r="H222" s="11">
        <f t="shared" si="3"/>
        <v>0.02528089888</v>
      </c>
      <c r="I222" s="12">
        <f t="shared" ref="I222:J222" si="225">IFERROR(D222/B222*1000,0)</f>
        <v>12.96700835</v>
      </c>
      <c r="J222" s="12">
        <f t="shared" si="225"/>
        <v>25.28089888</v>
      </c>
      <c r="K222" s="12">
        <f t="shared" si="5"/>
        <v>118.3333333</v>
      </c>
      <c r="L222" s="4">
        <f t="shared" si="6"/>
        <v>2.300215983</v>
      </c>
    </row>
    <row r="223">
      <c r="G223" s="11">
        <f t="shared" si="2"/>
        <v>0.02461291125</v>
      </c>
      <c r="H223" s="11">
        <f t="shared" si="3"/>
        <v>0.01088646967</v>
      </c>
      <c r="I223" s="12">
        <f t="shared" ref="I223:J223" si="226">IFERROR(D223/B223*1000,0)</f>
        <v>46.20184118</v>
      </c>
      <c r="J223" s="12">
        <f t="shared" si="226"/>
        <v>10.88646967</v>
      </c>
      <c r="K223" s="12">
        <f t="shared" si="5"/>
        <v>164.2142857</v>
      </c>
      <c r="L223" s="4">
        <f t="shared" si="6"/>
        <v>0.9523612262</v>
      </c>
    </row>
    <row r="224">
      <c r="G224" s="11">
        <f t="shared" si="2"/>
        <v>0.0143094718</v>
      </c>
      <c r="H224" s="11">
        <f t="shared" si="3"/>
        <v>0.0225498699</v>
      </c>
      <c r="I224" s="12">
        <f t="shared" ref="I224:J224" si="227">IFERROR(D224/B224*1000,0)</f>
        <v>25.66521048</v>
      </c>
      <c r="J224" s="12">
        <f t="shared" si="227"/>
        <v>22.5498699</v>
      </c>
      <c r="K224" s="12">
        <f t="shared" si="5"/>
        <v>114.6153846</v>
      </c>
      <c r="L224" s="4">
        <f t="shared" si="6"/>
        <v>1.441005803</v>
      </c>
    </row>
    <row r="225">
      <c r="G225" s="11">
        <f t="shared" si="2"/>
        <v>0.01741349972</v>
      </c>
      <c r="H225" s="11">
        <f t="shared" si="3"/>
        <v>0.01954397394</v>
      </c>
      <c r="I225" s="12">
        <f t="shared" ref="I225:J225" si="228">IFERROR(D225/B225*1000,0)</f>
        <v>33.408962</v>
      </c>
      <c r="J225" s="12">
        <f t="shared" si="228"/>
        <v>19.54397394</v>
      </c>
      <c r="K225" s="12">
        <f t="shared" si="5"/>
        <v>181</v>
      </c>
      <c r="L225" s="4">
        <f t="shared" si="6"/>
        <v>1.843803056</v>
      </c>
    </row>
    <row r="226">
      <c r="G226" s="11">
        <f t="shared" si="2"/>
        <v>0.01397639625</v>
      </c>
      <c r="H226" s="11">
        <f t="shared" si="3"/>
        <v>0.01196808511</v>
      </c>
      <c r="I226" s="12">
        <f t="shared" ref="I226:J226" si="229">IFERROR(D226/B226*1000,0)</f>
        <v>21.1504507</v>
      </c>
      <c r="J226" s="12">
        <f t="shared" si="229"/>
        <v>11.96808511</v>
      </c>
      <c r="K226" s="12">
        <f t="shared" si="5"/>
        <v>114.7777778</v>
      </c>
      <c r="L226" s="4">
        <f t="shared" si="6"/>
        <v>0.9077328647</v>
      </c>
    </row>
    <row r="227">
      <c r="G227" s="11">
        <f t="shared" si="2"/>
        <v>0.02206939027</v>
      </c>
      <c r="H227" s="11">
        <f t="shared" si="3"/>
        <v>0.01860465116</v>
      </c>
      <c r="I227" s="12">
        <f t="shared" ref="I227:J227" si="230">IFERROR(D227/B227*1000,0)</f>
        <v>31.1138484</v>
      </c>
      <c r="J227" s="12">
        <f t="shared" si="230"/>
        <v>18.60465116</v>
      </c>
      <c r="K227" s="12">
        <f t="shared" si="5"/>
        <v>203.2777778</v>
      </c>
      <c r="L227" s="4">
        <f t="shared" si="6"/>
        <v>2.68255132</v>
      </c>
    </row>
    <row r="228">
      <c r="G228" s="11">
        <f t="shared" si="2"/>
        <v>0.03051480866</v>
      </c>
      <c r="H228" s="11">
        <f t="shared" si="3"/>
        <v>0.01350048216</v>
      </c>
      <c r="I228" s="12">
        <f t="shared" ref="I228:J228" si="231">IFERROR(D228/B228*1000,0)</f>
        <v>51.77512616</v>
      </c>
      <c r="J228" s="12">
        <f t="shared" si="231"/>
        <v>13.50048216</v>
      </c>
      <c r="K228" s="12">
        <f t="shared" si="5"/>
        <v>128.5357143</v>
      </c>
      <c r="L228" s="4">
        <f t="shared" si="6"/>
        <v>1.022733731</v>
      </c>
    </row>
    <row r="229">
      <c r="G229" s="11">
        <f t="shared" si="2"/>
        <v>0.02523850206</v>
      </c>
      <c r="H229" s="11">
        <f t="shared" si="3"/>
        <v>0.01410437236</v>
      </c>
      <c r="I229" s="12">
        <f t="shared" ref="I229:J229" si="232">IFERROR(D229/B229*1000,0)</f>
        <v>28.2286772</v>
      </c>
      <c r="J229" s="12">
        <f t="shared" si="232"/>
        <v>14.10437236</v>
      </c>
      <c r="K229" s="12">
        <f t="shared" si="5"/>
        <v>147.3</v>
      </c>
      <c r="L229" s="4">
        <f t="shared" si="6"/>
        <v>1.857503153</v>
      </c>
    </row>
    <row r="230">
      <c r="G230" s="11">
        <f t="shared" si="2"/>
        <v>0.01380489636</v>
      </c>
      <c r="H230" s="11">
        <f t="shared" si="3"/>
        <v>0.01737160121</v>
      </c>
      <c r="I230" s="12">
        <f t="shared" ref="I230:J230" si="233">IFERROR(D230/B230*1000,0)</f>
        <v>22.79267631</v>
      </c>
      <c r="J230" s="12">
        <f t="shared" si="233"/>
        <v>17.37160121</v>
      </c>
      <c r="K230" s="12">
        <f t="shared" si="5"/>
        <v>164</v>
      </c>
      <c r="L230" s="4">
        <f t="shared" si="6"/>
        <v>1.725526075</v>
      </c>
    </row>
    <row r="231">
      <c r="G231" s="11">
        <f t="shared" si="2"/>
        <v>0.01898460913</v>
      </c>
      <c r="H231" s="11">
        <f t="shared" si="3"/>
        <v>0.02341137124</v>
      </c>
      <c r="I231" s="12">
        <f t="shared" ref="I231:J231" si="234">IFERROR(D231/B231*1000,0)</f>
        <v>28.82612892</v>
      </c>
      <c r="J231" s="12">
        <f t="shared" si="234"/>
        <v>23.41137124</v>
      </c>
      <c r="K231" s="12">
        <f t="shared" si="5"/>
        <v>140</v>
      </c>
      <c r="L231" s="4">
        <f t="shared" si="6"/>
        <v>2.158590308</v>
      </c>
    </row>
    <row r="232">
      <c r="G232" s="11">
        <f t="shared" si="2"/>
        <v>0.02132559925</v>
      </c>
      <c r="H232" s="11">
        <f t="shared" si="3"/>
        <v>0.02</v>
      </c>
      <c r="I232" s="12">
        <f t="shared" ref="I232:J232" si="235">IFERROR(D232/B232*1000,0)</f>
        <v>33.86505161</v>
      </c>
      <c r="J232" s="12">
        <f t="shared" si="235"/>
        <v>20</v>
      </c>
      <c r="K232" s="12">
        <f t="shared" si="5"/>
        <v>142.8</v>
      </c>
      <c r="L232" s="4">
        <f t="shared" si="6"/>
        <v>1.798488665</v>
      </c>
    </row>
    <row r="233">
      <c r="G233" s="11">
        <f t="shared" si="2"/>
        <v>0.02005773074</v>
      </c>
      <c r="H233" s="11">
        <f t="shared" si="3"/>
        <v>0.0147601476</v>
      </c>
      <c r="I233" s="12">
        <f t="shared" ref="I233:J233" si="236">IFERROR(D233/B233*1000,0)</f>
        <v>36.56280068</v>
      </c>
      <c r="J233" s="12">
        <f t="shared" si="236"/>
        <v>14.7601476</v>
      </c>
      <c r="K233" s="12">
        <f t="shared" si="5"/>
        <v>164.25</v>
      </c>
      <c r="L233" s="4">
        <f t="shared" si="6"/>
        <v>1.329959514</v>
      </c>
    </row>
    <row r="234">
      <c r="G234" s="11">
        <f t="shared" si="2"/>
        <v>0.01643392371</v>
      </c>
      <c r="H234" s="11">
        <f t="shared" si="3"/>
        <v>0.01554404145</v>
      </c>
      <c r="I234" s="12">
        <f t="shared" ref="I234:J234" si="237">IFERROR(D234/B234*1000,0)</f>
        <v>20.35081744</v>
      </c>
      <c r="J234" s="12">
        <f t="shared" si="237"/>
        <v>15.54404145</v>
      </c>
      <c r="K234" s="12">
        <f t="shared" si="5"/>
        <v>213</v>
      </c>
      <c r="L234" s="4">
        <f t="shared" si="6"/>
        <v>2.673640167</v>
      </c>
    </row>
    <row r="235">
      <c r="G235" s="11">
        <f t="shared" si="2"/>
        <v>0.02322179888</v>
      </c>
      <c r="H235" s="11">
        <f t="shared" si="3"/>
        <v>0.01399688958</v>
      </c>
      <c r="I235" s="12">
        <f t="shared" ref="I235:J235" si="238">IFERROR(D235/B235*1000,0)</f>
        <v>45.26986764</v>
      </c>
      <c r="J235" s="12">
        <f t="shared" si="238"/>
        <v>13.99688958</v>
      </c>
      <c r="K235" s="12">
        <f t="shared" si="5"/>
        <v>178.7222222</v>
      </c>
      <c r="L235" s="4">
        <f t="shared" si="6"/>
        <v>1.28320702</v>
      </c>
    </row>
    <row r="236">
      <c r="G236" s="11">
        <f t="shared" si="2"/>
        <v>0.02281372942</v>
      </c>
      <c r="H236" s="11">
        <f t="shared" si="3"/>
        <v>0.01757719715</v>
      </c>
      <c r="I236" s="12">
        <f t="shared" ref="I236:J236" si="239">IFERROR(D236/B236*1000,0)</f>
        <v>29.22975214</v>
      </c>
      <c r="J236" s="12">
        <f t="shared" si="239"/>
        <v>17.57719715</v>
      </c>
      <c r="K236" s="12">
        <f t="shared" si="5"/>
        <v>151.5135135</v>
      </c>
      <c r="L236" s="4">
        <f t="shared" si="6"/>
        <v>2.078605858</v>
      </c>
    </row>
    <row r="237">
      <c r="G237" s="11">
        <f t="shared" si="2"/>
        <v>0.03111570248</v>
      </c>
      <c r="H237" s="11">
        <f t="shared" si="3"/>
        <v>0.01992031873</v>
      </c>
      <c r="I237" s="12">
        <f t="shared" ref="I237:J237" si="240">IFERROR(D237/B237*1000,0)</f>
        <v>36.94214876</v>
      </c>
      <c r="J237" s="12">
        <f t="shared" si="240"/>
        <v>19.92031873</v>
      </c>
      <c r="K237" s="12">
        <f t="shared" si="5"/>
        <v>156.3333333</v>
      </c>
      <c r="L237" s="4">
        <f t="shared" si="6"/>
        <v>2.623042506</v>
      </c>
    </row>
    <row r="238">
      <c r="G238" s="11">
        <f t="shared" si="2"/>
        <v>0.0141098864</v>
      </c>
      <c r="H238" s="11">
        <f t="shared" si="3"/>
        <v>0.01792382375</v>
      </c>
      <c r="I238" s="12">
        <f t="shared" ref="I238:J238" si="241">IFERROR(D238/B238*1000,0)</f>
        <v>27.61912791</v>
      </c>
      <c r="J238" s="12">
        <f t="shared" si="241"/>
        <v>17.92382375</v>
      </c>
      <c r="K238" s="12">
        <f t="shared" si="5"/>
        <v>185.25</v>
      </c>
      <c r="L238" s="4">
        <f t="shared" si="6"/>
        <v>1.696299122</v>
      </c>
    </row>
    <row r="239">
      <c r="G239" s="11">
        <f t="shared" si="2"/>
        <v>0.0154027859</v>
      </c>
      <c r="H239" s="11">
        <f t="shared" si="3"/>
        <v>0.01976284585</v>
      </c>
      <c r="I239" s="12">
        <f t="shared" ref="I239:J239" si="242">IFERROR(D239/B239*1000,0)</f>
        <v>28.05376973</v>
      </c>
      <c r="J239" s="12">
        <f t="shared" si="242"/>
        <v>19.76284585</v>
      </c>
      <c r="K239" s="12">
        <f t="shared" si="5"/>
        <v>144.64</v>
      </c>
      <c r="L239" s="4">
        <f t="shared" si="6"/>
        <v>1.569444444</v>
      </c>
    </row>
    <row r="240">
      <c r="G240" s="11">
        <f t="shared" si="2"/>
        <v>0.02314768187</v>
      </c>
      <c r="H240" s="11">
        <f t="shared" si="3"/>
        <v>0.01740391588</v>
      </c>
      <c r="I240" s="12">
        <f t="shared" ref="I240:J240" si="243">IFERROR(D240/B240*1000,0)</f>
        <v>45.03642529</v>
      </c>
      <c r="J240" s="12">
        <f t="shared" si="243"/>
        <v>17.40391588</v>
      </c>
      <c r="K240" s="12">
        <f t="shared" si="5"/>
        <v>126.0416667</v>
      </c>
      <c r="L240" s="4">
        <f t="shared" si="6"/>
        <v>1.127469251</v>
      </c>
    </row>
    <row r="241">
      <c r="G241" s="11">
        <f t="shared" si="2"/>
        <v>0.01554320689</v>
      </c>
      <c r="H241" s="11">
        <f t="shared" si="3"/>
        <v>0.0103626943</v>
      </c>
      <c r="I241" s="12">
        <f t="shared" ref="I241:J241" si="244">IFERROR(D241/B241*1000,0)</f>
        <v>26.53620037</v>
      </c>
      <c r="J241" s="12">
        <f t="shared" si="244"/>
        <v>10.3626943</v>
      </c>
      <c r="K241" s="12">
        <f t="shared" si="5"/>
        <v>171.5</v>
      </c>
      <c r="L241" s="4">
        <f t="shared" si="6"/>
        <v>1.040971168</v>
      </c>
    </row>
    <row r="242">
      <c r="G242" s="11">
        <f t="shared" si="2"/>
        <v>0.01174394779</v>
      </c>
      <c r="H242" s="11">
        <f t="shared" si="3"/>
        <v>0.02261712439</v>
      </c>
      <c r="I242" s="12">
        <f t="shared" ref="I242:J242" si="245">IFERROR(D242/B242*1000,0)</f>
        <v>16.99931699</v>
      </c>
      <c r="J242" s="12">
        <f t="shared" si="245"/>
        <v>22.61712439</v>
      </c>
      <c r="K242" s="12">
        <f t="shared" si="5"/>
        <v>165.2142857</v>
      </c>
      <c r="L242" s="4">
        <f t="shared" si="6"/>
        <v>2.581473214</v>
      </c>
    </row>
    <row r="243">
      <c r="G243" s="11">
        <f t="shared" si="2"/>
        <v>0.01893030794</v>
      </c>
      <c r="H243" s="11">
        <f t="shared" si="3"/>
        <v>0.01712328767</v>
      </c>
      <c r="I243" s="12">
        <f t="shared" ref="I243:J243" si="246">IFERROR(D243/B243*1000,0)</f>
        <v>40.19448947</v>
      </c>
      <c r="J243" s="12">
        <f t="shared" si="246"/>
        <v>17.12328767</v>
      </c>
      <c r="K243" s="12">
        <f t="shared" si="5"/>
        <v>120.6</v>
      </c>
      <c r="L243" s="4">
        <f t="shared" si="6"/>
        <v>0.9725806452</v>
      </c>
    </row>
    <row r="244">
      <c r="G244" s="11">
        <f t="shared" si="2"/>
        <v>0.01878480942</v>
      </c>
      <c r="H244" s="11">
        <f t="shared" si="3"/>
        <v>0.01568334578</v>
      </c>
      <c r="I244" s="12">
        <f t="shared" ref="I244:J244" si="247">IFERROR(D244/B244*1000,0)</f>
        <v>18.67257755</v>
      </c>
      <c r="J244" s="12">
        <f t="shared" si="247"/>
        <v>15.68334578</v>
      </c>
      <c r="K244" s="12">
        <f t="shared" si="5"/>
        <v>134.3333333</v>
      </c>
      <c r="L244" s="4">
        <f t="shared" si="6"/>
        <v>2.119459053</v>
      </c>
    </row>
    <row r="245">
      <c r="G245" s="11">
        <f t="shared" si="2"/>
        <v>0.01472907775</v>
      </c>
      <c r="H245" s="11">
        <f t="shared" si="3"/>
        <v>0.02204724409</v>
      </c>
      <c r="I245" s="12">
        <f t="shared" ref="I245:J245" si="248">IFERROR(D245/B245*1000,0)</f>
        <v>30.45555762</v>
      </c>
      <c r="J245" s="12">
        <f t="shared" si="248"/>
        <v>22.04724409</v>
      </c>
      <c r="K245" s="12">
        <f t="shared" si="5"/>
        <v>117.75</v>
      </c>
      <c r="L245" s="4">
        <f t="shared" si="6"/>
        <v>1.255521706</v>
      </c>
    </row>
    <row r="246">
      <c r="G246" s="11">
        <f t="shared" si="2"/>
        <v>0.02793743179</v>
      </c>
      <c r="H246" s="11">
        <f t="shared" si="3"/>
        <v>0.01627604167</v>
      </c>
      <c r="I246" s="12">
        <f t="shared" ref="I246:J246" si="249">IFERROR(D246/B246*1000,0)</f>
        <v>25.68206621</v>
      </c>
      <c r="J246" s="12">
        <f t="shared" si="249"/>
        <v>16.27604167</v>
      </c>
      <c r="K246" s="12">
        <f t="shared" si="5"/>
        <v>108.2</v>
      </c>
      <c r="L246" s="4">
        <f t="shared" si="6"/>
        <v>1.91572238</v>
      </c>
    </row>
    <row r="247">
      <c r="G247" s="11">
        <f t="shared" si="2"/>
        <v>0.02789151693</v>
      </c>
      <c r="H247" s="11">
        <f t="shared" si="3"/>
        <v>0.0103626943</v>
      </c>
      <c r="I247" s="12">
        <f t="shared" ref="I247:J247" si="250">IFERROR(D247/B247*1000,0)</f>
        <v>31.60075148</v>
      </c>
      <c r="J247" s="12">
        <f t="shared" si="250"/>
        <v>10.3626943</v>
      </c>
      <c r="K247" s="12">
        <f t="shared" si="5"/>
        <v>211.6666667</v>
      </c>
      <c r="L247" s="4">
        <f t="shared" si="6"/>
        <v>1.93597561</v>
      </c>
    </row>
    <row r="248">
      <c r="G248" s="11">
        <f t="shared" si="2"/>
        <v>0.02616485436</v>
      </c>
      <c r="H248" s="11">
        <f t="shared" si="3"/>
        <v>0.02368647717</v>
      </c>
      <c r="I248" s="12">
        <f t="shared" ref="I248:J248" si="251">IFERROR(D248/B248*1000,0)</f>
        <v>35.9231506</v>
      </c>
      <c r="J248" s="12">
        <f t="shared" si="251"/>
        <v>23.68647717</v>
      </c>
      <c r="K248" s="12">
        <f t="shared" si="5"/>
        <v>154.5090909</v>
      </c>
      <c r="L248" s="4">
        <f t="shared" si="6"/>
        <v>2.665621079</v>
      </c>
    </row>
    <row r="249">
      <c r="G249" s="11">
        <f t="shared" si="2"/>
        <v>0.0197765067</v>
      </c>
      <c r="H249" s="11">
        <f t="shared" si="3"/>
        <v>0.01786711334</v>
      </c>
      <c r="I249" s="12">
        <f t="shared" ref="I249:J249" si="252">IFERROR(D249/B249*1000,0)</f>
        <v>34.95947528</v>
      </c>
      <c r="J249" s="12">
        <f t="shared" si="252"/>
        <v>17.86711334</v>
      </c>
      <c r="K249" s="12">
        <f t="shared" si="5"/>
        <v>195.1875</v>
      </c>
      <c r="L249" s="4">
        <f t="shared" si="6"/>
        <v>1.972836387</v>
      </c>
    </row>
    <row r="250">
      <c r="G250" s="11">
        <f t="shared" si="2"/>
        <v>0.02447785866</v>
      </c>
      <c r="H250" s="11">
        <f t="shared" si="3"/>
        <v>0.01428571429</v>
      </c>
      <c r="I250" s="12">
        <f t="shared" ref="I250:J250" si="253">IFERROR(D250/B250*1000,0)</f>
        <v>49.68687415</v>
      </c>
      <c r="J250" s="12">
        <f t="shared" si="253"/>
        <v>14.28571429</v>
      </c>
      <c r="K250" s="12">
        <f t="shared" si="5"/>
        <v>182.8181818</v>
      </c>
      <c r="L250" s="4">
        <f t="shared" si="6"/>
        <v>1.286628279</v>
      </c>
    </row>
    <row r="251">
      <c r="G251" s="11">
        <f t="shared" si="2"/>
        <v>0.01172499556</v>
      </c>
      <c r="H251" s="11">
        <f t="shared" si="3"/>
        <v>0.0101010101</v>
      </c>
      <c r="I251" s="12">
        <f t="shared" ref="I251:J251" si="254">IFERROR(D251/B251*1000,0)</f>
        <v>21.61425949</v>
      </c>
      <c r="J251" s="12">
        <f t="shared" si="254"/>
        <v>10.1010101</v>
      </c>
      <c r="K251" s="12">
        <f t="shared" si="5"/>
        <v>179</v>
      </c>
      <c r="L251" s="4">
        <f t="shared" si="6"/>
        <v>0.9808219178</v>
      </c>
    </row>
    <row r="252">
      <c r="G252" s="11">
        <f t="shared" si="2"/>
        <v>0.01138913184</v>
      </c>
      <c r="H252" s="11">
        <f t="shared" si="3"/>
        <v>0.02504173623</v>
      </c>
      <c r="I252" s="12">
        <f t="shared" ref="I252:J252" si="255">IFERROR(D252/B252*1000,0)</f>
        <v>20.76282466</v>
      </c>
      <c r="J252" s="12">
        <f t="shared" si="255"/>
        <v>25.04173623</v>
      </c>
      <c r="K252" s="12">
        <f t="shared" si="5"/>
        <v>148.3333333</v>
      </c>
      <c r="L252" s="4">
        <f t="shared" si="6"/>
        <v>2.037545788</v>
      </c>
    </row>
    <row r="253">
      <c r="G253" s="11">
        <f t="shared" si="2"/>
        <v>0.02227488152</v>
      </c>
      <c r="H253" s="11">
        <f t="shared" si="3"/>
        <v>0.01329787234</v>
      </c>
      <c r="I253" s="12">
        <f t="shared" ref="I253:J253" si="256">IFERROR(D253/B253*1000,0)</f>
        <v>28.25829384</v>
      </c>
      <c r="J253" s="12">
        <f t="shared" si="256"/>
        <v>13.29787234</v>
      </c>
      <c r="K253" s="12">
        <f t="shared" si="5"/>
        <v>180.8</v>
      </c>
      <c r="L253" s="4">
        <f t="shared" si="6"/>
        <v>1.895178197</v>
      </c>
    </row>
    <row r="254">
      <c r="G254" s="11">
        <f t="shared" si="2"/>
        <v>0.01911773526</v>
      </c>
      <c r="H254" s="11">
        <f t="shared" si="3"/>
        <v>0.01647058824</v>
      </c>
      <c r="I254" s="12">
        <f t="shared" ref="I254:J254" si="257">IFERROR(D254/B254*1000,0)</f>
        <v>32.68757872</v>
      </c>
      <c r="J254" s="12">
        <f t="shared" si="257"/>
        <v>16.47058824</v>
      </c>
      <c r="K254" s="12">
        <f t="shared" si="5"/>
        <v>150.2857143</v>
      </c>
      <c r="L254" s="4">
        <f t="shared" si="6"/>
        <v>1.447706422</v>
      </c>
    </row>
    <row r="255">
      <c r="G255" s="11">
        <f t="shared" si="2"/>
        <v>0.01032757786</v>
      </c>
      <c r="H255" s="11">
        <f t="shared" si="3"/>
        <v>0.021875</v>
      </c>
      <c r="I255" s="12">
        <f t="shared" ref="I255:J255" si="258">IFERROR(D255/B255*1000,0)</f>
        <v>17.92802969</v>
      </c>
      <c r="J255" s="12">
        <f t="shared" si="258"/>
        <v>21.875</v>
      </c>
      <c r="K255" s="12">
        <f t="shared" si="5"/>
        <v>200.5714286</v>
      </c>
      <c r="L255" s="4">
        <f t="shared" si="6"/>
        <v>2.527452745</v>
      </c>
    </row>
    <row r="256">
      <c r="G256" s="11">
        <f t="shared" si="2"/>
        <v>0.01441437736</v>
      </c>
      <c r="H256" s="11">
        <f t="shared" si="3"/>
        <v>0.01854493581</v>
      </c>
      <c r="I256" s="12">
        <f t="shared" ref="I256:J256" si="259">IFERROR(D256/B256*1000,0)</f>
        <v>21.77578549</v>
      </c>
      <c r="J256" s="12">
        <f t="shared" si="259"/>
        <v>18.54493581</v>
      </c>
      <c r="K256" s="12">
        <f t="shared" si="5"/>
        <v>188.2307692</v>
      </c>
      <c r="L256" s="4">
        <f t="shared" si="6"/>
        <v>2.310670444</v>
      </c>
    </row>
    <row r="257">
      <c r="G257" s="11">
        <f t="shared" si="2"/>
        <v>0.01504276115</v>
      </c>
      <c r="H257" s="11">
        <f t="shared" si="3"/>
        <v>0.02538071066</v>
      </c>
      <c r="I257" s="12">
        <f t="shared" ref="I257:J257" si="260">IFERROR(D257/B257*1000,0)</f>
        <v>17.02810018</v>
      </c>
      <c r="J257" s="12">
        <f t="shared" si="260"/>
        <v>25.38071066</v>
      </c>
      <c r="K257" s="12">
        <f t="shared" si="5"/>
        <v>155.6</v>
      </c>
      <c r="L257" s="4">
        <f t="shared" si="6"/>
        <v>3.488789238</v>
      </c>
    </row>
    <row r="258">
      <c r="G258" s="11">
        <f t="shared" si="2"/>
        <v>0.01874792815</v>
      </c>
      <c r="H258" s="11">
        <f t="shared" si="3"/>
        <v>0.02685003274</v>
      </c>
      <c r="I258" s="12">
        <f t="shared" ref="I258:J258" si="261">IFERROR(D258/B258*1000,0)</f>
        <v>26.60560596</v>
      </c>
      <c r="J258" s="12">
        <f t="shared" si="261"/>
        <v>26.85003274</v>
      </c>
      <c r="K258" s="12">
        <f t="shared" si="5"/>
        <v>167.3902439</v>
      </c>
      <c r="L258" s="4">
        <f t="shared" si="6"/>
        <v>3.167051223</v>
      </c>
    </row>
    <row r="259">
      <c r="G259" s="11">
        <f t="shared" si="2"/>
        <v>0.01150318669</v>
      </c>
      <c r="H259" s="11">
        <f t="shared" si="3"/>
        <v>0.0152027027</v>
      </c>
      <c r="I259" s="12">
        <f t="shared" ref="I259:J259" si="262">IFERROR(D259/B259*1000,0)</f>
        <v>17.23534898</v>
      </c>
      <c r="J259" s="12">
        <f t="shared" si="262"/>
        <v>15.2027027</v>
      </c>
      <c r="K259" s="12">
        <f t="shared" si="5"/>
        <v>138</v>
      </c>
      <c r="L259" s="4">
        <f t="shared" si="6"/>
        <v>1.400225479</v>
      </c>
    </row>
    <row r="260">
      <c r="G260" s="11">
        <f t="shared" si="2"/>
        <v>0.02868428117</v>
      </c>
      <c r="H260" s="11">
        <f t="shared" si="3"/>
        <v>0.01336898396</v>
      </c>
      <c r="I260" s="12">
        <f t="shared" ref="I260:J260" si="263">IFERROR(D260/B260*1000,0)</f>
        <v>44.56034053</v>
      </c>
      <c r="J260" s="12">
        <f t="shared" si="263"/>
        <v>13.36898396</v>
      </c>
      <c r="K260" s="12">
        <f t="shared" si="5"/>
        <v>179.65</v>
      </c>
      <c r="L260" s="4">
        <f t="shared" si="6"/>
        <v>1.546041308</v>
      </c>
    </row>
    <row r="261">
      <c r="G261" s="11">
        <f t="shared" si="2"/>
        <v>0.01687053217</v>
      </c>
      <c r="H261" s="11">
        <f t="shared" si="3"/>
        <v>0.02071563089</v>
      </c>
      <c r="I261" s="12">
        <f t="shared" ref="I261:J261" si="264">IFERROR(D261/B261*1000,0)</f>
        <v>32.40667196</v>
      </c>
      <c r="J261" s="12">
        <f t="shared" si="264"/>
        <v>20.71563089</v>
      </c>
      <c r="K261" s="12">
        <f t="shared" si="5"/>
        <v>130.2727273</v>
      </c>
      <c r="L261" s="4">
        <f t="shared" si="6"/>
        <v>1.404901961</v>
      </c>
    </row>
    <row r="262">
      <c r="G262" s="11">
        <f t="shared" si="2"/>
        <v>0.0144172029</v>
      </c>
      <c r="H262" s="11">
        <f t="shared" si="3"/>
        <v>0.01694915254</v>
      </c>
      <c r="I262" s="12">
        <f t="shared" ref="I262:J262" si="265">IFERROR(D262/B262*1000,0)</f>
        <v>23.94721838</v>
      </c>
      <c r="J262" s="12">
        <f t="shared" si="265"/>
        <v>16.94915254</v>
      </c>
      <c r="K262" s="12">
        <f t="shared" si="5"/>
        <v>203</v>
      </c>
      <c r="L262" s="4">
        <f t="shared" si="6"/>
        <v>2.071428571</v>
      </c>
    </row>
    <row r="263">
      <c r="G263" s="11">
        <f t="shared" si="2"/>
        <v>0.0103152695</v>
      </c>
      <c r="H263" s="11">
        <f t="shared" si="3"/>
        <v>0.01408450704</v>
      </c>
      <c r="I263" s="12">
        <f t="shared" ref="I263:J263" si="266">IFERROR(D263/B263*1000,0)</f>
        <v>19.25032689</v>
      </c>
      <c r="J263" s="12">
        <f t="shared" si="266"/>
        <v>14.08450704</v>
      </c>
      <c r="K263" s="12">
        <f t="shared" si="5"/>
        <v>132.5</v>
      </c>
      <c r="L263" s="4">
        <f t="shared" si="6"/>
        <v>1</v>
      </c>
    </row>
    <row r="264">
      <c r="G264" s="11">
        <f t="shared" si="2"/>
        <v>0.01460810937</v>
      </c>
      <c r="H264" s="11">
        <f t="shared" si="3"/>
        <v>0.01923076923</v>
      </c>
      <c r="I264" s="12">
        <f t="shared" ref="I264:J264" si="267">IFERROR(D264/B264*1000,0)</f>
        <v>29.59078565</v>
      </c>
      <c r="J264" s="12">
        <f t="shared" si="267"/>
        <v>19.23076923</v>
      </c>
      <c r="K264" s="12">
        <f t="shared" si="5"/>
        <v>138</v>
      </c>
      <c r="L264" s="4">
        <f t="shared" si="6"/>
        <v>1.310126582</v>
      </c>
    </row>
    <row r="265">
      <c r="G265" s="11">
        <f t="shared" si="2"/>
        <v>0.01725189926</v>
      </c>
      <c r="H265" s="11">
        <f t="shared" si="3"/>
        <v>0.01664355062</v>
      </c>
      <c r="I265" s="12">
        <f t="shared" ref="I265:J265" si="268">IFERROR(D265/B265*1000,0)</f>
        <v>20.44625232</v>
      </c>
      <c r="J265" s="12">
        <f t="shared" si="268"/>
        <v>16.64355062</v>
      </c>
      <c r="K265" s="12">
        <f t="shared" si="5"/>
        <v>191</v>
      </c>
      <c r="L265" s="4">
        <f t="shared" si="6"/>
        <v>2.682270334</v>
      </c>
    </row>
    <row r="266">
      <c r="G266" s="11">
        <f t="shared" si="2"/>
        <v>0.01892837026</v>
      </c>
      <c r="H266" s="11">
        <f t="shared" si="3"/>
        <v>0.01921884687</v>
      </c>
      <c r="I266" s="12">
        <f t="shared" ref="I266:J266" si="269">IFERROR(D266/B266*1000,0)</f>
        <v>35.82660533</v>
      </c>
      <c r="J266" s="12">
        <f t="shared" si="269"/>
        <v>19.21884687</v>
      </c>
      <c r="K266" s="12">
        <f t="shared" si="5"/>
        <v>201.6451613</v>
      </c>
      <c r="L266" s="4">
        <f t="shared" si="6"/>
        <v>2.047494268</v>
      </c>
    </row>
    <row r="267">
      <c r="G267" s="11">
        <f t="shared" si="2"/>
        <v>0.02949599084</v>
      </c>
      <c r="H267" s="11">
        <f t="shared" si="3"/>
        <v>0.01386962552</v>
      </c>
      <c r="I267" s="12">
        <f t="shared" ref="I267:J267" si="270">IFERROR(D267/B267*1000,0)</f>
        <v>42.42349861</v>
      </c>
      <c r="J267" s="12">
        <f t="shared" si="270"/>
        <v>13.86962552</v>
      </c>
      <c r="K267" s="12">
        <f t="shared" si="5"/>
        <v>217.9</v>
      </c>
      <c r="L267" s="4">
        <f t="shared" si="6"/>
        <v>2.101253616</v>
      </c>
    </row>
    <row r="268">
      <c r="G268" s="11">
        <f t="shared" si="2"/>
        <v>0.03365074399</v>
      </c>
      <c r="H268" s="11">
        <f t="shared" si="3"/>
        <v>0.02149912841</v>
      </c>
      <c r="I268" s="12">
        <f t="shared" ref="I268:J268" si="271">IFERROR(D268/B268*1000,0)</f>
        <v>36.42727255</v>
      </c>
      <c r="J268" s="12">
        <f t="shared" si="271"/>
        <v>21.49912841</v>
      </c>
      <c r="K268" s="12">
        <f t="shared" si="5"/>
        <v>108.1351351</v>
      </c>
      <c r="L268" s="4">
        <f t="shared" si="6"/>
        <v>2.147611379</v>
      </c>
    </row>
    <row r="269">
      <c r="G269" s="11">
        <f t="shared" si="2"/>
        <v>0.01306441902</v>
      </c>
      <c r="H269" s="11">
        <f t="shared" si="3"/>
        <v>0.01497695853</v>
      </c>
      <c r="I269" s="12">
        <f t="shared" ref="I269:J269" si="272">IFERROR(D269/B269*1000,0)</f>
        <v>25.66225166</v>
      </c>
      <c r="J269" s="12">
        <f t="shared" si="272"/>
        <v>14.97695853</v>
      </c>
      <c r="K269" s="12">
        <f t="shared" si="5"/>
        <v>122</v>
      </c>
      <c r="L269" s="4">
        <f t="shared" si="6"/>
        <v>0.9302052786</v>
      </c>
    </row>
    <row r="270">
      <c r="G270" s="11">
        <f t="shared" si="2"/>
        <v>0.02460297995</v>
      </c>
      <c r="H270" s="11">
        <f t="shared" si="3"/>
        <v>0.0230529595</v>
      </c>
      <c r="I270" s="12">
        <f t="shared" ref="I270:J270" si="273">IFERROR(D270/B270*1000,0)</f>
        <v>39.77864983</v>
      </c>
      <c r="J270" s="12">
        <f t="shared" si="273"/>
        <v>23.0529595</v>
      </c>
      <c r="K270" s="12">
        <f t="shared" si="5"/>
        <v>166.3513514</v>
      </c>
      <c r="L270" s="4">
        <f t="shared" si="6"/>
        <v>2.371868979</v>
      </c>
    </row>
    <row r="271">
      <c r="G271" s="11">
        <f t="shared" si="2"/>
        <v>0.01430719461</v>
      </c>
      <c r="H271" s="11">
        <f t="shared" si="3"/>
        <v>0.02070063694</v>
      </c>
      <c r="I271" s="12">
        <f t="shared" ref="I271:J271" si="274">IFERROR(D271/B271*1000,0)</f>
        <v>21.50635622</v>
      </c>
      <c r="J271" s="12">
        <f t="shared" si="274"/>
        <v>20.70063694</v>
      </c>
      <c r="K271" s="12">
        <f t="shared" si="5"/>
        <v>196.0769231</v>
      </c>
      <c r="L271" s="4">
        <f t="shared" si="6"/>
        <v>2.700211864</v>
      </c>
    </row>
    <row r="272">
      <c r="G272" s="11">
        <f t="shared" si="2"/>
        <v>0.01566687281</v>
      </c>
      <c r="H272" s="11">
        <f t="shared" si="3"/>
        <v>0.02192982456</v>
      </c>
      <c r="I272" s="12">
        <f t="shared" ref="I272:J272" si="275">IFERROR(D272/B272*1000,0)</f>
        <v>18.6903044</v>
      </c>
      <c r="J272" s="12">
        <f t="shared" si="275"/>
        <v>21.92982456</v>
      </c>
      <c r="K272" s="12">
        <f t="shared" si="5"/>
        <v>118.6</v>
      </c>
      <c r="L272" s="4">
        <f t="shared" si="6"/>
        <v>2.180147059</v>
      </c>
    </row>
    <row r="273">
      <c r="G273" s="11">
        <f t="shared" si="2"/>
        <v>0.02623391317</v>
      </c>
      <c r="H273" s="11">
        <f t="shared" si="3"/>
        <v>0.01482479784</v>
      </c>
      <c r="I273" s="12">
        <f t="shared" ref="I273:J273" si="276">IFERROR(D273/B273*1000,0)</f>
        <v>35.32032244</v>
      </c>
      <c r="J273" s="12">
        <f t="shared" si="276"/>
        <v>14.82479784</v>
      </c>
      <c r="K273" s="12">
        <f t="shared" si="5"/>
        <v>124.2727273</v>
      </c>
      <c r="L273" s="4">
        <f t="shared" si="6"/>
        <v>1.368368368</v>
      </c>
    </row>
    <row r="274">
      <c r="G274" s="11">
        <f t="shared" si="2"/>
        <v>0.02471306703</v>
      </c>
      <c r="H274" s="11">
        <f t="shared" si="3"/>
        <v>0.01826923077</v>
      </c>
      <c r="I274" s="12">
        <f t="shared" ref="I274:J274" si="277">IFERROR(D274/B274*1000,0)</f>
        <v>38.3765416</v>
      </c>
      <c r="J274" s="12">
        <f t="shared" si="277"/>
        <v>18.26923077</v>
      </c>
      <c r="K274" s="12">
        <f t="shared" si="5"/>
        <v>112.6842105</v>
      </c>
      <c r="L274" s="4">
        <f t="shared" si="6"/>
        <v>1.325696594</v>
      </c>
    </row>
    <row r="275">
      <c r="G275" s="11">
        <f t="shared" si="2"/>
        <v>0.02737459454</v>
      </c>
      <c r="H275" s="11">
        <f t="shared" si="3"/>
        <v>0.01795332136</v>
      </c>
      <c r="I275" s="12">
        <f t="shared" ref="I275:J275" si="278">IFERROR(D275/B275*1000,0)</f>
        <v>43.93696144</v>
      </c>
      <c r="J275" s="12">
        <f t="shared" si="278"/>
        <v>17.95332136</v>
      </c>
      <c r="K275" s="12">
        <f t="shared" si="5"/>
        <v>204.3666667</v>
      </c>
      <c r="L275" s="4">
        <f t="shared" si="6"/>
        <v>2.285980611</v>
      </c>
    </row>
    <row r="276">
      <c r="G276" s="11">
        <f t="shared" si="2"/>
        <v>0.03104209945</v>
      </c>
      <c r="H276" s="11">
        <f t="shared" si="3"/>
        <v>0.02075391783</v>
      </c>
      <c r="I276" s="12">
        <f t="shared" ref="I276:J276" si="279">IFERROR(D276/B276*1000,0)</f>
        <v>44.2556996</v>
      </c>
      <c r="J276" s="12">
        <f t="shared" si="279"/>
        <v>20.75391783</v>
      </c>
      <c r="K276" s="12">
        <f t="shared" si="5"/>
        <v>100.3469388</v>
      </c>
      <c r="L276" s="4">
        <f t="shared" si="6"/>
        <v>1.460784314</v>
      </c>
    </row>
    <row r="277">
      <c r="G277" s="11">
        <f t="shared" si="2"/>
        <v>0.01949049825</v>
      </c>
      <c r="H277" s="11">
        <f t="shared" si="3"/>
        <v>0.0222098834</v>
      </c>
      <c r="I277" s="12">
        <f t="shared" ref="I277:J277" si="280">IFERROR(D277/B277*1000,0)</f>
        <v>20.20475304</v>
      </c>
      <c r="J277" s="12">
        <f t="shared" si="280"/>
        <v>22.2098834</v>
      </c>
      <c r="K277" s="12">
        <f t="shared" si="5"/>
        <v>184.175</v>
      </c>
      <c r="L277" s="4">
        <f t="shared" si="6"/>
        <v>3.945902517</v>
      </c>
    </row>
    <row r="278">
      <c r="G278" s="11">
        <f t="shared" si="2"/>
        <v>0.01658824468</v>
      </c>
      <c r="H278" s="11">
        <f t="shared" si="3"/>
        <v>0.02541208791</v>
      </c>
      <c r="I278" s="12">
        <f t="shared" ref="I278:J278" si="281">IFERROR(D278/B278*1000,0)</f>
        <v>24.83679491</v>
      </c>
      <c r="J278" s="12">
        <f t="shared" si="281"/>
        <v>25.41208791</v>
      </c>
      <c r="K278" s="12">
        <f t="shared" si="5"/>
        <v>194.7027027</v>
      </c>
      <c r="L278" s="4">
        <f t="shared" si="6"/>
        <v>3.304587156</v>
      </c>
    </row>
    <row r="279">
      <c r="G279" s="11">
        <f t="shared" si="2"/>
        <v>0.01832690284</v>
      </c>
      <c r="H279" s="11">
        <f t="shared" si="3"/>
        <v>0.01794258373</v>
      </c>
      <c r="I279" s="12">
        <f t="shared" ref="I279:J279" si="282">IFERROR(D279/B279*1000,0)</f>
        <v>27.49035426</v>
      </c>
      <c r="J279" s="12">
        <f t="shared" si="282"/>
        <v>17.94258373</v>
      </c>
      <c r="K279" s="12">
        <f t="shared" si="5"/>
        <v>146.2</v>
      </c>
      <c r="L279" s="4">
        <f t="shared" si="6"/>
        <v>1.748803828</v>
      </c>
    </row>
    <row r="280">
      <c r="G280" s="11">
        <f t="shared" si="2"/>
        <v>0.02567185016</v>
      </c>
      <c r="H280" s="11">
        <f t="shared" si="3"/>
        <v>0.0166163142</v>
      </c>
      <c r="I280" s="12">
        <f t="shared" ref="I280:J280" si="283">IFERROR(D280/B280*1000,0)</f>
        <v>45.50742622</v>
      </c>
      <c r="J280" s="12">
        <f t="shared" si="283"/>
        <v>16.6163142</v>
      </c>
      <c r="K280" s="12">
        <f t="shared" si="5"/>
        <v>179.5909091</v>
      </c>
      <c r="L280" s="4">
        <f t="shared" si="6"/>
        <v>1.68342565</v>
      </c>
    </row>
    <row r="281">
      <c r="G281" s="11">
        <f t="shared" si="2"/>
        <v>0.02028316096</v>
      </c>
      <c r="H281" s="11">
        <f t="shared" si="3"/>
        <v>0.01237623762</v>
      </c>
      <c r="I281" s="12">
        <f t="shared" ref="I281:J281" si="284">IFERROR(D281/B281*1000,0)</f>
        <v>24.50045185</v>
      </c>
      <c r="J281" s="12">
        <f t="shared" si="284"/>
        <v>12.37623762</v>
      </c>
      <c r="K281" s="12">
        <f t="shared" si="5"/>
        <v>205.8</v>
      </c>
      <c r="L281" s="4">
        <f t="shared" si="6"/>
        <v>2.108606557</v>
      </c>
    </row>
    <row r="282">
      <c r="G282" s="11">
        <f t="shared" si="2"/>
        <v>0.01988741736</v>
      </c>
      <c r="H282" s="11">
        <f t="shared" si="3"/>
        <v>0.02139330773</v>
      </c>
      <c r="I282" s="12">
        <f t="shared" ref="I282:J282" si="285">IFERROR(D282/B282*1000,0)</f>
        <v>36.27299108</v>
      </c>
      <c r="J282" s="12">
        <f t="shared" si="285"/>
        <v>21.39330773</v>
      </c>
      <c r="K282" s="12">
        <f t="shared" si="5"/>
        <v>131.4615385</v>
      </c>
      <c r="L282" s="4">
        <f t="shared" si="6"/>
        <v>1.541954887</v>
      </c>
    </row>
    <row r="283">
      <c r="G283" s="11">
        <f t="shared" si="2"/>
        <v>0.01850973723</v>
      </c>
      <c r="H283" s="11">
        <f t="shared" si="3"/>
        <v>0.01325088339</v>
      </c>
      <c r="I283" s="12">
        <f t="shared" ref="I283:J283" si="286">IFERROR(D283/B283*1000,0)</f>
        <v>23.10446883</v>
      </c>
      <c r="J283" s="12">
        <f t="shared" si="286"/>
        <v>13.25088339</v>
      </c>
      <c r="K283" s="12">
        <f t="shared" si="5"/>
        <v>172.3333333</v>
      </c>
      <c r="L283" s="4">
        <f t="shared" si="6"/>
        <v>1.829440906</v>
      </c>
    </row>
    <row r="284">
      <c r="G284" s="11">
        <f t="shared" si="2"/>
        <v>0.01760186716</v>
      </c>
      <c r="H284" s="11">
        <f t="shared" si="3"/>
        <v>0.02693370166</v>
      </c>
      <c r="I284" s="12">
        <f t="shared" ref="I284:J284" si="287">IFERROR(D284/B284*1000,0)</f>
        <v>21.49178255</v>
      </c>
      <c r="J284" s="12">
        <f t="shared" si="287"/>
        <v>26.93370166</v>
      </c>
      <c r="K284" s="12">
        <f t="shared" si="5"/>
        <v>126.1794872</v>
      </c>
      <c r="L284" s="4">
        <f t="shared" si="6"/>
        <v>2.783371041</v>
      </c>
    </row>
    <row r="285">
      <c r="G285" s="11">
        <f t="shared" si="2"/>
        <v>0.01601764084</v>
      </c>
      <c r="H285" s="11">
        <f t="shared" si="3"/>
        <v>0.01816443595</v>
      </c>
      <c r="I285" s="12">
        <f t="shared" ref="I285:J285" si="288">IFERROR(D285/B285*1000,0)</f>
        <v>23.12298057</v>
      </c>
      <c r="J285" s="12">
        <f t="shared" si="288"/>
        <v>18.16443595</v>
      </c>
      <c r="K285" s="12">
        <f t="shared" si="5"/>
        <v>130</v>
      </c>
      <c r="L285" s="4">
        <f t="shared" si="6"/>
        <v>1.635761589</v>
      </c>
    </row>
    <row r="286">
      <c r="G286" s="11">
        <f t="shared" si="2"/>
        <v>0.0135289946</v>
      </c>
      <c r="H286" s="11">
        <f t="shared" si="3"/>
        <v>0.01209677419</v>
      </c>
      <c r="I286" s="12">
        <f t="shared" ref="I286:J286" si="289">IFERROR(D286/B286*1000,0)</f>
        <v>14.01996618</v>
      </c>
      <c r="J286" s="12">
        <f t="shared" si="289"/>
        <v>12.09677419</v>
      </c>
      <c r="K286" s="12">
        <f t="shared" si="5"/>
        <v>169.3333333</v>
      </c>
      <c r="L286" s="4">
        <f t="shared" si="6"/>
        <v>1.976653696</v>
      </c>
    </row>
    <row r="287">
      <c r="G287" s="11">
        <f t="shared" si="2"/>
        <v>0.02974328581</v>
      </c>
      <c r="H287" s="11">
        <f t="shared" si="3"/>
        <v>0.01992619926</v>
      </c>
      <c r="I287" s="12">
        <f t="shared" ref="I287:J287" si="290">IFERROR(D287/B287*1000,0)</f>
        <v>27.20797252</v>
      </c>
      <c r="J287" s="12">
        <f t="shared" si="290"/>
        <v>19.92619926</v>
      </c>
      <c r="K287" s="12">
        <f t="shared" si="5"/>
        <v>109.3148148</v>
      </c>
      <c r="L287" s="4">
        <f t="shared" si="6"/>
        <v>2.381202098</v>
      </c>
    </row>
    <row r="288">
      <c r="G288" s="11">
        <f t="shared" si="2"/>
        <v>0.0256016528</v>
      </c>
      <c r="H288" s="11">
        <f t="shared" si="3"/>
        <v>0.01635768811</v>
      </c>
      <c r="I288" s="12">
        <f t="shared" ref="I288:J288" si="291">IFERROR(D288/B288*1000,0)</f>
        <v>40.51035792</v>
      </c>
      <c r="J288" s="12">
        <f t="shared" si="291"/>
        <v>16.35768811</v>
      </c>
      <c r="K288" s="12">
        <f t="shared" si="5"/>
        <v>159.7333333</v>
      </c>
      <c r="L288" s="4">
        <f t="shared" si="6"/>
        <v>1.651274983</v>
      </c>
    </row>
    <row r="289">
      <c r="G289" s="11">
        <f t="shared" si="2"/>
        <v>0.02060526807</v>
      </c>
      <c r="H289" s="11">
        <f t="shared" si="3"/>
        <v>0.0199456029</v>
      </c>
      <c r="I289" s="12">
        <f t="shared" ref="I289:J289" si="292">IFERROR(D289/B289*1000,0)</f>
        <v>30.35680927</v>
      </c>
      <c r="J289" s="12">
        <f t="shared" si="292"/>
        <v>19.9456029</v>
      </c>
      <c r="K289" s="12">
        <f t="shared" si="5"/>
        <v>169.5</v>
      </c>
      <c r="L289" s="4">
        <f t="shared" si="6"/>
        <v>2.294769231</v>
      </c>
    </row>
    <row r="290">
      <c r="G290" s="11">
        <f t="shared" si="2"/>
        <v>0.01530199896</v>
      </c>
      <c r="H290" s="11">
        <f t="shared" si="3"/>
        <v>0.01877934272</v>
      </c>
      <c r="I290" s="12">
        <f t="shared" ref="I290:J290" si="293">IFERROR(D290/B290*1000,0)</f>
        <v>15.96652239</v>
      </c>
      <c r="J290" s="12">
        <f t="shared" si="293"/>
        <v>18.77934272</v>
      </c>
      <c r="K290" s="12">
        <f t="shared" si="5"/>
        <v>166.1875</v>
      </c>
      <c r="L290" s="4">
        <f t="shared" si="6"/>
        <v>2.991001125</v>
      </c>
    </row>
    <row r="291">
      <c r="G291" s="11">
        <f t="shared" si="2"/>
        <v>0.01550353932</v>
      </c>
      <c r="H291" s="11">
        <f t="shared" si="3"/>
        <v>0.01400560224</v>
      </c>
      <c r="I291" s="12">
        <f t="shared" ref="I291:J291" si="294">IFERROR(D291/B291*1000,0)</f>
        <v>30.09510575</v>
      </c>
      <c r="J291" s="12">
        <f t="shared" si="294"/>
        <v>14.00560224</v>
      </c>
      <c r="K291" s="12">
        <f t="shared" si="5"/>
        <v>119.5</v>
      </c>
      <c r="L291" s="4">
        <f t="shared" si="6"/>
        <v>0.8621933622</v>
      </c>
    </row>
    <row r="292">
      <c r="G292" s="11">
        <f t="shared" si="2"/>
        <v>0.0125377581</v>
      </c>
      <c r="H292" s="11">
        <f t="shared" si="3"/>
        <v>0.02640264026</v>
      </c>
      <c r="I292" s="12">
        <f t="shared" ref="I292:J292" si="295">IFERROR(D292/B292*1000,0)</f>
        <v>19.90317375</v>
      </c>
      <c r="J292" s="12">
        <f t="shared" si="295"/>
        <v>26.40264026</v>
      </c>
      <c r="K292" s="12">
        <f t="shared" si="5"/>
        <v>130.875</v>
      </c>
      <c r="L292" s="4">
        <f t="shared" si="6"/>
        <v>2.176715177</v>
      </c>
    </row>
    <row r="293">
      <c r="G293" s="11">
        <f t="shared" si="2"/>
        <v>0.01547694251</v>
      </c>
      <c r="H293" s="11">
        <f t="shared" si="3"/>
        <v>0.01224489796</v>
      </c>
      <c r="I293" s="12">
        <f t="shared" ref="I293:J293" si="296">IFERROR(D293/B293*1000,0)</f>
        <v>23.12065698</v>
      </c>
      <c r="J293" s="12">
        <f t="shared" si="296"/>
        <v>12.24489796</v>
      </c>
      <c r="K293" s="12">
        <f t="shared" si="5"/>
        <v>184.3333333</v>
      </c>
      <c r="L293" s="4">
        <f t="shared" si="6"/>
        <v>1.510928962</v>
      </c>
    </row>
    <row r="294">
      <c r="G294" s="11">
        <f t="shared" si="2"/>
        <v>0.02517288718</v>
      </c>
      <c r="H294" s="11">
        <f t="shared" si="3"/>
        <v>0.01885830785</v>
      </c>
      <c r="I294" s="12">
        <f t="shared" ref="I294:J294" si="297">IFERROR(D294/B294*1000,0)</f>
        <v>23.82571432</v>
      </c>
      <c r="J294" s="12">
        <f t="shared" si="297"/>
        <v>18.85830785</v>
      </c>
      <c r="K294" s="12">
        <f t="shared" si="5"/>
        <v>133.8378378</v>
      </c>
      <c r="L294" s="4">
        <f t="shared" si="6"/>
        <v>2.666666667</v>
      </c>
    </row>
    <row r="295">
      <c r="G295" s="11">
        <f t="shared" si="2"/>
        <v>0.02403474123</v>
      </c>
      <c r="H295" s="11">
        <f t="shared" si="3"/>
        <v>0.0172993753</v>
      </c>
      <c r="I295" s="12">
        <f t="shared" ref="I295:J295" si="298">IFERROR(D295/B295*1000,0)</f>
        <v>33.23978148</v>
      </c>
      <c r="J295" s="12">
        <f t="shared" si="298"/>
        <v>17.2993753</v>
      </c>
      <c r="K295" s="12">
        <f t="shared" si="5"/>
        <v>105.2777778</v>
      </c>
      <c r="L295" s="4">
        <f t="shared" si="6"/>
        <v>1.316886727</v>
      </c>
    </row>
    <row r="296">
      <c r="G296" s="11">
        <f t="shared" si="2"/>
        <v>0.01531451715</v>
      </c>
      <c r="H296" s="11">
        <f t="shared" si="3"/>
        <v>0.01342975207</v>
      </c>
      <c r="I296" s="12">
        <f t="shared" ref="I296:J296" si="299">IFERROR(D296/B296*1000,0)</f>
        <v>21.18402734</v>
      </c>
      <c r="J296" s="12">
        <f t="shared" si="299"/>
        <v>13.42975207</v>
      </c>
      <c r="K296" s="12">
        <f t="shared" si="5"/>
        <v>124.6153846</v>
      </c>
      <c r="L296" s="4">
        <f t="shared" si="6"/>
        <v>1.209858103</v>
      </c>
    </row>
    <row r="297">
      <c r="G297" s="11">
        <f t="shared" si="2"/>
        <v>0.01714997861</v>
      </c>
      <c r="H297" s="11">
        <f t="shared" si="3"/>
        <v>0.01952277657</v>
      </c>
      <c r="I297" s="12">
        <f t="shared" ref="I297:J297" si="300">IFERROR(D297/B297*1000,0)</f>
        <v>16.94536932</v>
      </c>
      <c r="J297" s="12">
        <f t="shared" si="300"/>
        <v>19.52277657</v>
      </c>
      <c r="K297" s="12">
        <f t="shared" si="5"/>
        <v>186.6666667</v>
      </c>
      <c r="L297" s="4">
        <f t="shared" si="6"/>
        <v>3.688254665</v>
      </c>
    </row>
    <row r="298">
      <c r="G298" s="11">
        <f t="shared" si="2"/>
        <v>0.02658527973</v>
      </c>
      <c r="H298" s="11">
        <f t="shared" si="3"/>
        <v>0.02277039848</v>
      </c>
      <c r="I298" s="12">
        <f t="shared" ref="I298:J298" si="301">IFERROR(D298/B298*1000,0)</f>
        <v>32.1848358</v>
      </c>
      <c r="J298" s="12">
        <f t="shared" si="301"/>
        <v>22.77039848</v>
      </c>
      <c r="K298" s="12">
        <f t="shared" si="5"/>
        <v>118.0833333</v>
      </c>
      <c r="L298" s="4">
        <f t="shared" si="6"/>
        <v>2.221003135</v>
      </c>
    </row>
    <row r="299">
      <c r="G299" s="11">
        <f t="shared" si="2"/>
        <v>0.01647142447</v>
      </c>
      <c r="H299" s="11">
        <f t="shared" si="3"/>
        <v>0.022406639</v>
      </c>
      <c r="I299" s="12">
        <f t="shared" ref="I299:J299" si="302">IFERROR(D299/B299*1000,0)</f>
        <v>23.90748664</v>
      </c>
      <c r="J299" s="12">
        <f t="shared" si="302"/>
        <v>22.406639</v>
      </c>
      <c r="K299" s="12">
        <f t="shared" si="5"/>
        <v>119.2592593</v>
      </c>
      <c r="L299" s="4">
        <f t="shared" si="6"/>
        <v>1.84105203</v>
      </c>
    </row>
    <row r="300">
      <c r="G300" s="11">
        <f t="shared" si="2"/>
        <v>0.02466328494</v>
      </c>
      <c r="H300" s="11">
        <f t="shared" si="3"/>
        <v>0.01891252955</v>
      </c>
      <c r="I300" s="12">
        <f t="shared" ref="I300:J300" si="303">IFERROR(D300/B300*1000,0)</f>
        <v>29.15281908</v>
      </c>
      <c r="J300" s="12">
        <f t="shared" si="303"/>
        <v>18.91252955</v>
      </c>
      <c r="K300" s="12">
        <f t="shared" si="5"/>
        <v>171.5</v>
      </c>
      <c r="L300" s="4">
        <f t="shared" si="6"/>
        <v>2.744</v>
      </c>
    </row>
    <row r="301">
      <c r="G301" s="11">
        <f t="shared" si="2"/>
        <v>0.01897013258</v>
      </c>
      <c r="H301" s="11">
        <f t="shared" si="3"/>
        <v>0.01666666667</v>
      </c>
      <c r="I301" s="12">
        <f t="shared" ref="I301:J301" si="304">IFERROR(D301/B301*1000,0)</f>
        <v>20.48774319</v>
      </c>
      <c r="J301" s="12">
        <f t="shared" si="304"/>
        <v>16.66666667</v>
      </c>
      <c r="K301" s="12">
        <f t="shared" si="5"/>
        <v>183</v>
      </c>
      <c r="L301" s="4">
        <f t="shared" si="6"/>
        <v>2.824074074</v>
      </c>
    </row>
    <row r="302">
      <c r="G302" s="11">
        <f t="shared" si="2"/>
        <v>0.0171161187</v>
      </c>
      <c r="H302" s="11">
        <f t="shared" si="3"/>
        <v>0.02363823227</v>
      </c>
      <c r="I302" s="12">
        <f t="shared" ref="I302:J302" si="305">IFERROR(D302/B302*1000,0)</f>
        <v>22.5869439</v>
      </c>
      <c r="J302" s="12">
        <f t="shared" si="305"/>
        <v>23.63823227</v>
      </c>
      <c r="K302" s="12">
        <f t="shared" si="5"/>
        <v>126.4347826</v>
      </c>
      <c r="L302" s="4">
        <f t="shared" si="6"/>
        <v>2.264797508</v>
      </c>
    </row>
    <row r="303">
      <c r="G303" s="11">
        <f t="shared" si="2"/>
        <v>0.01837186898</v>
      </c>
      <c r="H303" s="11">
        <f t="shared" si="3"/>
        <v>0.01730466702</v>
      </c>
      <c r="I303" s="12">
        <f t="shared" ref="I303:J303" si="306">IFERROR(D303/B303*1000,0)</f>
        <v>31.14643545</v>
      </c>
      <c r="J303" s="12">
        <f t="shared" si="306"/>
        <v>17.30466702</v>
      </c>
      <c r="K303" s="12">
        <f t="shared" si="5"/>
        <v>138.2727273</v>
      </c>
      <c r="L303" s="4">
        <f t="shared" si="6"/>
        <v>1.411382617</v>
      </c>
    </row>
    <row r="304">
      <c r="G304" s="11">
        <f t="shared" si="2"/>
        <v>0.01826609832</v>
      </c>
      <c r="H304" s="11">
        <f t="shared" si="3"/>
        <v>0.01863354037</v>
      </c>
      <c r="I304" s="12">
        <f t="shared" ref="I304:J304" si="307">IFERROR(D304/B304*1000,0)</f>
        <v>23.04737516</v>
      </c>
      <c r="J304" s="12">
        <f t="shared" si="307"/>
        <v>18.63354037</v>
      </c>
      <c r="K304" s="12">
        <f t="shared" si="5"/>
        <v>185.952381</v>
      </c>
      <c r="L304" s="4">
        <f t="shared" si="6"/>
        <v>2.746132208</v>
      </c>
    </row>
    <row r="305">
      <c r="G305" s="11">
        <f t="shared" si="2"/>
        <v>0.03146293502</v>
      </c>
      <c r="H305" s="11">
        <f t="shared" si="3"/>
        <v>0.02180232558</v>
      </c>
      <c r="I305" s="12">
        <f t="shared" ref="I305:J305" si="308">IFERROR(D305/B305*1000,0)</f>
        <v>45.7538757</v>
      </c>
      <c r="J305" s="12">
        <f t="shared" si="308"/>
        <v>21.80232558</v>
      </c>
      <c r="K305" s="12">
        <f t="shared" si="5"/>
        <v>127.9</v>
      </c>
      <c r="L305" s="4">
        <f t="shared" si="6"/>
        <v>1.917541229</v>
      </c>
    </row>
    <row r="306">
      <c r="G306" s="11">
        <f t="shared" si="2"/>
        <v>0.02386332323</v>
      </c>
      <c r="H306" s="11">
        <f t="shared" si="3"/>
        <v>0.01847575058</v>
      </c>
      <c r="I306" s="12">
        <f t="shared" ref="I306:J306" si="309">IFERROR(D306/B306*1000,0)</f>
        <v>42.93193717</v>
      </c>
      <c r="J306" s="12">
        <f t="shared" si="309"/>
        <v>18.47575058</v>
      </c>
      <c r="K306" s="12">
        <f t="shared" si="5"/>
        <v>163.75</v>
      </c>
      <c r="L306" s="4">
        <f t="shared" si="6"/>
        <v>1.681643132</v>
      </c>
    </row>
    <row r="307">
      <c r="G307" s="11">
        <f t="shared" si="2"/>
        <v>0.02056377805</v>
      </c>
      <c r="H307" s="11">
        <f t="shared" si="3"/>
        <v>0.01322482197</v>
      </c>
      <c r="I307" s="12">
        <f t="shared" ref="I307:J307" si="310">IFERROR(D307/B307*1000,0)</f>
        <v>21.46331259</v>
      </c>
      <c r="J307" s="12">
        <f t="shared" si="310"/>
        <v>13.22482197</v>
      </c>
      <c r="K307" s="12">
        <f t="shared" si="5"/>
        <v>180.3461538</v>
      </c>
      <c r="L307" s="4">
        <f t="shared" si="6"/>
        <v>2.285087719</v>
      </c>
    </row>
    <row r="308">
      <c r="G308" s="11">
        <f t="shared" si="2"/>
        <v>0.01653633105</v>
      </c>
      <c r="H308" s="11">
        <f t="shared" si="3"/>
        <v>0.0197044335</v>
      </c>
      <c r="I308" s="12">
        <f t="shared" ref="I308:J308" si="311">IFERROR(D308/B308*1000,0)</f>
        <v>31.44346693</v>
      </c>
      <c r="J308" s="12">
        <f t="shared" si="311"/>
        <v>19.7044335</v>
      </c>
      <c r="K308" s="12">
        <f t="shared" si="5"/>
        <v>183.5</v>
      </c>
      <c r="L308" s="4">
        <f t="shared" si="6"/>
        <v>1.901554404</v>
      </c>
    </row>
    <row r="309">
      <c r="G309" s="11">
        <f t="shared" si="2"/>
        <v>0.01760854842</v>
      </c>
      <c r="H309" s="11">
        <f t="shared" si="3"/>
        <v>0.01709401709</v>
      </c>
      <c r="I309" s="12">
        <f t="shared" ref="I309:J309" si="312">IFERROR(D309/B309*1000,0)</f>
        <v>33.86259312</v>
      </c>
      <c r="J309" s="12">
        <f t="shared" si="312"/>
        <v>17.09401709</v>
      </c>
      <c r="K309" s="12">
        <f t="shared" si="5"/>
        <v>130.25</v>
      </c>
      <c r="L309" s="4">
        <f t="shared" si="6"/>
        <v>1.157777778</v>
      </c>
    </row>
    <row r="310">
      <c r="G310" s="11">
        <f t="shared" si="2"/>
        <v>0.02613147853</v>
      </c>
      <c r="H310" s="11">
        <f t="shared" si="3"/>
        <v>0.01848428835</v>
      </c>
      <c r="I310" s="12">
        <f t="shared" ref="I310:J310" si="313">IFERROR(D310/B310*1000,0)</f>
        <v>36.274936</v>
      </c>
      <c r="J310" s="12">
        <f t="shared" si="313"/>
        <v>18.48428835</v>
      </c>
      <c r="K310" s="12">
        <f t="shared" si="5"/>
        <v>157.3</v>
      </c>
      <c r="L310" s="4">
        <f t="shared" si="6"/>
        <v>2.094540613</v>
      </c>
    </row>
    <row r="311">
      <c r="G311" s="11">
        <f t="shared" si="2"/>
        <v>0.02961567528</v>
      </c>
      <c r="H311" s="11">
        <f t="shared" si="3"/>
        <v>0.02329881657</v>
      </c>
      <c r="I311" s="12">
        <f t="shared" ref="I311:J311" si="314">IFERROR(D311/B311*1000,0)</f>
        <v>30.06472953</v>
      </c>
      <c r="J311" s="12">
        <f t="shared" si="314"/>
        <v>23.29881657</v>
      </c>
      <c r="K311" s="12">
        <f t="shared" si="5"/>
        <v>163.3650794</v>
      </c>
      <c r="L311" s="4">
        <f t="shared" si="6"/>
        <v>3.749362477</v>
      </c>
    </row>
    <row r="312">
      <c r="G312" s="11">
        <f t="shared" si="2"/>
        <v>0.01815256056</v>
      </c>
      <c r="H312" s="11">
        <f t="shared" si="3"/>
        <v>0.02021772939</v>
      </c>
      <c r="I312" s="12">
        <f t="shared" ref="I312:J312" si="315">IFERROR(D312/B312*1000,0)</f>
        <v>31.53407487</v>
      </c>
      <c r="J312" s="12">
        <f t="shared" si="315"/>
        <v>20.21772939</v>
      </c>
      <c r="K312" s="12">
        <f t="shared" si="5"/>
        <v>134.3076923</v>
      </c>
      <c r="L312" s="4">
        <f t="shared" si="6"/>
        <v>1.563115488</v>
      </c>
    </row>
    <row r="313">
      <c r="G313" s="11">
        <f t="shared" si="2"/>
        <v>0.02629244294</v>
      </c>
      <c r="H313" s="11">
        <f t="shared" si="3"/>
        <v>0.02366345311</v>
      </c>
      <c r="I313" s="12">
        <f t="shared" ref="I313:J313" si="316">IFERROR(D313/B313*1000,0)</f>
        <v>29.32264123</v>
      </c>
      <c r="J313" s="12">
        <f t="shared" si="316"/>
        <v>23.66345311</v>
      </c>
      <c r="K313" s="12">
        <f t="shared" si="5"/>
        <v>154.5</v>
      </c>
      <c r="L313" s="4">
        <f t="shared" si="6"/>
        <v>3.278192534</v>
      </c>
    </row>
    <row r="314">
      <c r="G314" s="11">
        <f t="shared" si="2"/>
        <v>0.02299241619</v>
      </c>
      <c r="H314" s="11">
        <f t="shared" si="3"/>
        <v>0.02219482121</v>
      </c>
      <c r="I314" s="12">
        <f t="shared" ref="I314:J314" si="317">IFERROR(D314/B314*1000,0)</f>
        <v>35.02728755</v>
      </c>
      <c r="J314" s="12">
        <f t="shared" si="317"/>
        <v>22.19482121</v>
      </c>
      <c r="K314" s="12">
        <f t="shared" si="5"/>
        <v>186.0833333</v>
      </c>
      <c r="L314" s="4">
        <f t="shared" si="6"/>
        <v>2.711048159</v>
      </c>
    </row>
    <row r="315">
      <c r="G315" s="11">
        <f t="shared" si="2"/>
        <v>0.02161297692</v>
      </c>
      <c r="H315" s="11">
        <f t="shared" si="3"/>
        <v>0.02114164905</v>
      </c>
      <c r="I315" s="12">
        <f t="shared" ref="I315:J315" si="318">IFERROR(D315/B315*1000,0)</f>
        <v>26.36509024</v>
      </c>
      <c r="J315" s="12">
        <f t="shared" si="318"/>
        <v>21.14164905</v>
      </c>
      <c r="K315" s="12">
        <f t="shared" si="5"/>
        <v>150.7</v>
      </c>
      <c r="L315" s="4">
        <f t="shared" si="6"/>
        <v>2.611785095</v>
      </c>
    </row>
    <row r="316">
      <c r="G316" s="11">
        <f t="shared" si="2"/>
        <v>0.01297104208</v>
      </c>
      <c r="H316" s="11">
        <f t="shared" si="3"/>
        <v>0.02031602709</v>
      </c>
      <c r="I316" s="12">
        <f t="shared" ref="I316:J316" si="319">IFERROR(D316/B316*1000,0)</f>
        <v>11.03856177</v>
      </c>
      <c r="J316" s="12">
        <f t="shared" si="319"/>
        <v>20.31602709</v>
      </c>
      <c r="K316" s="12">
        <f t="shared" si="5"/>
        <v>160.8888889</v>
      </c>
      <c r="L316" s="4">
        <f t="shared" si="6"/>
        <v>3.840848806</v>
      </c>
    </row>
    <row r="317">
      <c r="G317" s="11">
        <f t="shared" si="2"/>
        <v>0.01281409729</v>
      </c>
      <c r="H317" s="11">
        <f t="shared" si="3"/>
        <v>0.01952580195</v>
      </c>
      <c r="I317" s="12">
        <f t="shared" ref="I317:J317" si="320">IFERROR(D317/B317*1000,0)</f>
        <v>25.0205526</v>
      </c>
      <c r="J317" s="12">
        <f t="shared" si="320"/>
        <v>19.52580195</v>
      </c>
      <c r="K317" s="12">
        <f t="shared" si="5"/>
        <v>205.7142857</v>
      </c>
      <c r="L317" s="4">
        <f t="shared" si="6"/>
        <v>2.057142857</v>
      </c>
    </row>
    <row r="318">
      <c r="G318" s="11">
        <f t="shared" si="2"/>
        <v>0.02430335655</v>
      </c>
      <c r="H318" s="11">
        <f t="shared" si="3"/>
        <v>0.01221498371</v>
      </c>
      <c r="I318" s="12">
        <f t="shared" ref="I318:J318" si="321">IFERROR(D318/B318*1000,0)</f>
        <v>26.27256175</v>
      </c>
      <c r="J318" s="12">
        <f t="shared" si="321"/>
        <v>12.21498371</v>
      </c>
      <c r="K318" s="12">
        <f t="shared" si="5"/>
        <v>119.2333333</v>
      </c>
      <c r="L318" s="4">
        <f t="shared" si="6"/>
        <v>1.347269303</v>
      </c>
    </row>
    <row r="319">
      <c r="G319" s="11">
        <f t="shared" si="2"/>
        <v>0.01560622715</v>
      </c>
      <c r="H319" s="11">
        <f t="shared" si="3"/>
        <v>0.01556101556</v>
      </c>
      <c r="I319" s="12">
        <f t="shared" ref="I319:J319" si="322">IFERROR(D319/B319*1000,0)</f>
        <v>26.17653826</v>
      </c>
      <c r="J319" s="12">
        <f t="shared" si="322"/>
        <v>15.56101556</v>
      </c>
      <c r="K319" s="12">
        <f t="shared" si="5"/>
        <v>151.2631579</v>
      </c>
      <c r="L319" s="4">
        <f t="shared" si="6"/>
        <v>1.403320313</v>
      </c>
    </row>
    <row r="320">
      <c r="G320" s="11">
        <f t="shared" si="2"/>
        <v>0.0172948881</v>
      </c>
      <c r="H320" s="11">
        <f t="shared" si="3"/>
        <v>0.01422924901</v>
      </c>
      <c r="I320" s="12">
        <f t="shared" ref="I320:J320" si="323">IFERROR(D320/B320*1000,0)</f>
        <v>18.55269814</v>
      </c>
      <c r="J320" s="12">
        <f t="shared" si="323"/>
        <v>14.22924901</v>
      </c>
      <c r="K320" s="12">
        <f t="shared" si="5"/>
        <v>128</v>
      </c>
      <c r="L320" s="4">
        <f t="shared" si="6"/>
        <v>1.697862933</v>
      </c>
    </row>
    <row r="321">
      <c r="G321" s="11">
        <f t="shared" si="2"/>
        <v>0.00896443036</v>
      </c>
      <c r="H321" s="11">
        <f t="shared" si="3"/>
        <v>0.02268431002</v>
      </c>
      <c r="I321" s="12">
        <f t="shared" ref="I321:J321" si="324">IFERROR(D321/B321*1000,0)</f>
        <v>12.72644083</v>
      </c>
      <c r="J321" s="12">
        <f t="shared" si="324"/>
        <v>22.68431002</v>
      </c>
      <c r="K321" s="12">
        <f t="shared" si="5"/>
        <v>132.9166667</v>
      </c>
      <c r="L321" s="4">
        <f t="shared" si="6"/>
        <v>2.123834887</v>
      </c>
    </row>
    <row r="322">
      <c r="G322" s="11">
        <f t="shared" si="2"/>
        <v>0.02913362702</v>
      </c>
      <c r="H322" s="11">
        <f t="shared" si="3"/>
        <v>0.0252016129</v>
      </c>
      <c r="I322" s="12">
        <f t="shared" ref="I322:J322" si="325">IFERROR(D322/B322*1000,0)</f>
        <v>37.4743025</v>
      </c>
      <c r="J322" s="12">
        <f t="shared" si="325"/>
        <v>25.2016129</v>
      </c>
      <c r="K322" s="12">
        <f t="shared" si="5"/>
        <v>150.92</v>
      </c>
      <c r="L322" s="4">
        <f t="shared" si="6"/>
        <v>2.956896552</v>
      </c>
    </row>
    <row r="323">
      <c r="G323" s="11">
        <f t="shared" si="2"/>
        <v>0.01347195985</v>
      </c>
      <c r="H323" s="11">
        <f t="shared" si="3"/>
        <v>0.02456499488</v>
      </c>
      <c r="I323" s="12">
        <f t="shared" ref="I323:J323" si="326">IFERROR(D323/B323*1000,0)</f>
        <v>22.73824134</v>
      </c>
      <c r="J323" s="12">
        <f t="shared" si="326"/>
        <v>24.56499488</v>
      </c>
      <c r="K323" s="12">
        <f t="shared" si="5"/>
        <v>138.875</v>
      </c>
      <c r="L323" s="4">
        <f t="shared" si="6"/>
        <v>2.021224985</v>
      </c>
    </row>
    <row r="324">
      <c r="G324" s="11">
        <f t="shared" si="2"/>
        <v>0.01276075619</v>
      </c>
      <c r="H324" s="11">
        <f t="shared" si="3"/>
        <v>0.01404853129</v>
      </c>
      <c r="I324" s="12">
        <f t="shared" ref="I324:J324" si="327">IFERROR(D324/B324*1000,0)</f>
        <v>21.62646675</v>
      </c>
      <c r="J324" s="12">
        <f t="shared" si="327"/>
        <v>14.04853129</v>
      </c>
      <c r="K324" s="12">
        <f t="shared" si="5"/>
        <v>159.7272727</v>
      </c>
      <c r="L324" s="4">
        <f t="shared" si="6"/>
        <v>1.324039186</v>
      </c>
    </row>
    <row r="325">
      <c r="G325" s="11">
        <f t="shared" si="2"/>
        <v>0.01853279901</v>
      </c>
      <c r="H325" s="11">
        <f t="shared" si="3"/>
        <v>0.02182810368</v>
      </c>
      <c r="I325" s="12">
        <f t="shared" ref="I325:J325" si="328">IFERROR(D325/B325*1000,0)</f>
        <v>22.47702363</v>
      </c>
      <c r="J325" s="12">
        <f t="shared" si="328"/>
        <v>21.82810368</v>
      </c>
      <c r="K325" s="12">
        <f t="shared" si="5"/>
        <v>195.90625</v>
      </c>
      <c r="L325" s="4">
        <f t="shared" si="6"/>
        <v>3.525871766</v>
      </c>
    </row>
    <row r="326">
      <c r="G326" s="11">
        <f t="shared" si="2"/>
        <v>0.01141376938</v>
      </c>
      <c r="H326" s="11">
        <f t="shared" si="3"/>
        <v>0.02127659574</v>
      </c>
      <c r="I326" s="12">
        <f t="shared" ref="I326:J326" si="329">IFERROR(D326/B326*1000,0)</f>
        <v>16.79685919</v>
      </c>
      <c r="J326" s="12">
        <f t="shared" si="329"/>
        <v>21.27659574</v>
      </c>
      <c r="K326" s="12">
        <f t="shared" si="5"/>
        <v>186.5</v>
      </c>
      <c r="L326" s="4">
        <f t="shared" si="6"/>
        <v>2.696385542</v>
      </c>
    </row>
    <row r="327">
      <c r="G327" s="11">
        <f t="shared" si="2"/>
        <v>0.02561527425</v>
      </c>
      <c r="H327" s="11">
        <f t="shared" si="3"/>
        <v>0.01594140457</v>
      </c>
      <c r="I327" s="12">
        <f t="shared" ref="I327:J327" si="330">IFERROR(D327/B327*1000,0)</f>
        <v>35.62520693</v>
      </c>
      <c r="J327" s="12">
        <f t="shared" si="330"/>
        <v>15.94140457</v>
      </c>
      <c r="K327" s="12">
        <f t="shared" si="5"/>
        <v>106.0810811</v>
      </c>
      <c r="L327" s="4">
        <f t="shared" si="6"/>
        <v>1.215923172</v>
      </c>
    </row>
    <row r="328">
      <c r="G328" s="11">
        <f t="shared" si="2"/>
        <v>0.01200483868</v>
      </c>
      <c r="H328" s="11">
        <f t="shared" si="3"/>
        <v>0.01147959184</v>
      </c>
      <c r="I328" s="12">
        <f t="shared" ref="I328:J328" si="331">IFERROR(D328/B328*1000,0)</f>
        <v>17.62445067</v>
      </c>
      <c r="J328" s="12">
        <f t="shared" si="331"/>
        <v>11.47959184</v>
      </c>
      <c r="K328" s="12">
        <f t="shared" si="5"/>
        <v>180.6666667</v>
      </c>
      <c r="L328" s="4">
        <f t="shared" si="6"/>
        <v>1.412684622</v>
      </c>
    </row>
    <row r="329">
      <c r="G329" s="11">
        <f t="shared" si="2"/>
        <v>0.01516605091</v>
      </c>
      <c r="H329" s="11">
        <f t="shared" si="3"/>
        <v>0.0134589502</v>
      </c>
      <c r="I329" s="12">
        <f t="shared" ref="I329:J329" si="332">IFERROR(D329/B329*1000,0)</f>
        <v>26.57630993</v>
      </c>
      <c r="J329" s="12">
        <f t="shared" si="332"/>
        <v>13.4589502</v>
      </c>
      <c r="K329" s="12">
        <f t="shared" si="5"/>
        <v>148.4</v>
      </c>
      <c r="L329" s="4">
        <f t="shared" si="6"/>
        <v>1.139784946</v>
      </c>
    </row>
    <row r="330">
      <c r="G330" s="11">
        <f t="shared" si="2"/>
        <v>0.01266036462</v>
      </c>
      <c r="H330" s="11">
        <f t="shared" si="3"/>
        <v>0.01333333333</v>
      </c>
      <c r="I330" s="12">
        <f t="shared" ref="I330:J330" si="333">IFERROR(D330/B330*1000,0)</f>
        <v>19.69390052</v>
      </c>
      <c r="J330" s="12">
        <f t="shared" si="333"/>
        <v>13.33333333</v>
      </c>
      <c r="K330" s="12">
        <f t="shared" si="5"/>
        <v>197.3333333</v>
      </c>
      <c r="L330" s="4">
        <f t="shared" si="6"/>
        <v>1.691428571</v>
      </c>
    </row>
    <row r="331">
      <c r="G331" s="11">
        <f t="shared" si="2"/>
        <v>0.01049543677</v>
      </c>
      <c r="H331" s="11">
        <f t="shared" si="3"/>
        <v>0.01863354037</v>
      </c>
      <c r="I331" s="12">
        <f t="shared" ref="I331:J331" si="334">IFERROR(D331/B331*1000,0)</f>
        <v>19.81747066</v>
      </c>
      <c r="J331" s="12">
        <f t="shared" si="334"/>
        <v>18.63354037</v>
      </c>
      <c r="K331" s="12">
        <f t="shared" si="5"/>
        <v>143.3333333</v>
      </c>
      <c r="L331" s="4">
        <f t="shared" si="6"/>
        <v>1.414473684</v>
      </c>
    </row>
    <row r="332">
      <c r="G332" s="11">
        <f t="shared" si="2"/>
        <v>0.01673789174</v>
      </c>
      <c r="H332" s="11">
        <f t="shared" si="3"/>
        <v>0.01276595745</v>
      </c>
      <c r="I332" s="12">
        <f t="shared" ref="I332:J332" si="335">IFERROR(D332/B332*1000,0)</f>
        <v>26.35327635</v>
      </c>
      <c r="J332" s="12">
        <f t="shared" si="335"/>
        <v>12.76595745</v>
      </c>
      <c r="K332" s="12">
        <f t="shared" si="5"/>
        <v>195.3333333</v>
      </c>
      <c r="L332" s="4">
        <f t="shared" si="6"/>
        <v>1.583783784</v>
      </c>
    </row>
    <row r="333">
      <c r="G333" s="11">
        <f t="shared" si="2"/>
        <v>0.02317424033</v>
      </c>
      <c r="H333" s="11">
        <f t="shared" si="3"/>
        <v>0.01247165533</v>
      </c>
      <c r="I333" s="12">
        <f t="shared" ref="I333:J333" si="336">IFERROR(D333/B333*1000,0)</f>
        <v>41.43512132</v>
      </c>
      <c r="J333" s="12">
        <f t="shared" si="336"/>
        <v>12.47165533</v>
      </c>
      <c r="K333" s="12">
        <f t="shared" si="5"/>
        <v>127.8181818</v>
      </c>
      <c r="L333" s="4">
        <f t="shared" si="6"/>
        <v>0.8915662651</v>
      </c>
    </row>
    <row r="334">
      <c r="G334" s="11">
        <f t="shared" si="2"/>
        <v>0.02551150198</v>
      </c>
      <c r="H334" s="11">
        <f t="shared" si="3"/>
        <v>0.01424501425</v>
      </c>
      <c r="I334" s="12">
        <f t="shared" ref="I334:J334" si="337">IFERROR(D334/B334*1000,0)</f>
        <v>39.53919395</v>
      </c>
      <c r="J334" s="12">
        <f t="shared" si="337"/>
        <v>14.24501425</v>
      </c>
      <c r="K334" s="12">
        <f t="shared" si="5"/>
        <v>190.5</v>
      </c>
      <c r="L334" s="4">
        <f t="shared" si="6"/>
        <v>1.750919118</v>
      </c>
    </row>
    <row r="335">
      <c r="G335" s="11">
        <f t="shared" si="2"/>
        <v>0.02630295876</v>
      </c>
      <c r="H335" s="11">
        <f t="shared" si="3"/>
        <v>0.01658536585</v>
      </c>
      <c r="I335" s="12">
        <f t="shared" ref="I335:J335" si="338">IFERROR(D335/B335*1000,0)</f>
        <v>37.23472504</v>
      </c>
      <c r="J335" s="12">
        <f t="shared" si="338"/>
        <v>16.58536585</v>
      </c>
      <c r="K335" s="12">
        <f t="shared" si="5"/>
        <v>168.7058824</v>
      </c>
      <c r="L335" s="4">
        <f t="shared" si="6"/>
        <v>1.976567884</v>
      </c>
    </row>
    <row r="336">
      <c r="G336" s="11">
        <f t="shared" si="2"/>
        <v>0.02380885189</v>
      </c>
      <c r="H336" s="11">
        <f t="shared" si="3"/>
        <v>0.01224812327</v>
      </c>
      <c r="I336" s="12">
        <f t="shared" ref="I336:J336" si="339">IFERROR(D336/B336*1000,0)</f>
        <v>27.32703071</v>
      </c>
      <c r="J336" s="12">
        <f t="shared" si="339"/>
        <v>12.24812327</v>
      </c>
      <c r="K336" s="12">
        <f t="shared" si="5"/>
        <v>188.1612903</v>
      </c>
      <c r="L336" s="4">
        <f t="shared" si="6"/>
        <v>2.007917384</v>
      </c>
    </row>
    <row r="337">
      <c r="G337" s="11">
        <f t="shared" si="2"/>
        <v>0.02078583109</v>
      </c>
      <c r="H337" s="11">
        <f t="shared" si="3"/>
        <v>0.02049861496</v>
      </c>
      <c r="I337" s="12">
        <f t="shared" ref="I337:J337" si="340">IFERROR(D337/B337*1000,0)</f>
        <v>29.67594832</v>
      </c>
      <c r="J337" s="12">
        <f t="shared" si="340"/>
        <v>20.49861496</v>
      </c>
      <c r="K337" s="12">
        <f t="shared" si="5"/>
        <v>177.6756757</v>
      </c>
      <c r="L337" s="4">
        <f t="shared" si="6"/>
        <v>2.551028328</v>
      </c>
    </row>
    <row r="338">
      <c r="G338" s="11">
        <f t="shared" si="2"/>
        <v>0.01153420762</v>
      </c>
      <c r="H338" s="11">
        <f t="shared" si="3"/>
        <v>0.01643835616</v>
      </c>
      <c r="I338" s="12">
        <f t="shared" ref="I338:J338" si="341">IFERROR(D338/B338*1000,0)</f>
        <v>19.8609575</v>
      </c>
      <c r="J338" s="12">
        <f t="shared" si="341"/>
        <v>16.43835616</v>
      </c>
      <c r="K338" s="12">
        <f t="shared" si="5"/>
        <v>206.3333333</v>
      </c>
      <c r="L338" s="4">
        <f t="shared" si="6"/>
        <v>1.969769292</v>
      </c>
    </row>
    <row r="339">
      <c r="G339" s="11">
        <f t="shared" si="2"/>
        <v>0.02413649605</v>
      </c>
      <c r="H339" s="11">
        <f t="shared" si="3"/>
        <v>0.02473763118</v>
      </c>
      <c r="I339" s="12">
        <f t="shared" ref="I339:J339" si="342">IFERROR(D339/B339*1000,0)</f>
        <v>45.77611319</v>
      </c>
      <c r="J339" s="12">
        <f t="shared" si="342"/>
        <v>24.73763118</v>
      </c>
      <c r="K339" s="12">
        <f t="shared" si="5"/>
        <v>167.0454545</v>
      </c>
      <c r="L339" s="4">
        <f t="shared" si="6"/>
        <v>2.178853755</v>
      </c>
    </row>
    <row r="340">
      <c r="G340" s="11">
        <f t="shared" si="2"/>
        <v>0.009536177635</v>
      </c>
      <c r="H340" s="11">
        <f t="shared" si="3"/>
        <v>0.02269692924</v>
      </c>
      <c r="I340" s="12">
        <f t="shared" ref="I340:J340" si="343">IFERROR(D340/B340*1000,0)</f>
        <v>15.4183059</v>
      </c>
      <c r="J340" s="12">
        <f t="shared" si="343"/>
        <v>22.69692924</v>
      </c>
      <c r="K340" s="12">
        <f t="shared" si="5"/>
        <v>140.8235294</v>
      </c>
      <c r="L340" s="4">
        <f t="shared" si="6"/>
        <v>1.976878613</v>
      </c>
    </row>
    <row r="341">
      <c r="G341" s="11">
        <f t="shared" si="2"/>
        <v>0.03159490129</v>
      </c>
      <c r="H341" s="11">
        <f t="shared" si="3"/>
        <v>0.0135301353</v>
      </c>
      <c r="I341" s="12">
        <f t="shared" ref="I341:J341" si="344">IFERROR(D341/B341*1000,0)</f>
        <v>54.15436033</v>
      </c>
      <c r="J341" s="12">
        <f t="shared" si="344"/>
        <v>13.5301353</v>
      </c>
      <c r="K341" s="12">
        <f t="shared" si="5"/>
        <v>206.8636364</v>
      </c>
      <c r="L341" s="4">
        <f t="shared" si="6"/>
        <v>1.632938644</v>
      </c>
    </row>
    <row r="342">
      <c r="G342" s="11">
        <f t="shared" si="2"/>
        <v>0.02336394783</v>
      </c>
      <c r="H342" s="11">
        <f t="shared" si="3"/>
        <v>0.0191004313</v>
      </c>
      <c r="I342" s="12">
        <f t="shared" ref="I342:J342" si="345">IFERROR(D342/B342*1000,0)</f>
        <v>30.04347451</v>
      </c>
      <c r="J342" s="12">
        <f t="shared" si="345"/>
        <v>19.1004313</v>
      </c>
      <c r="K342" s="12">
        <f t="shared" si="5"/>
        <v>133.8387097</v>
      </c>
      <c r="L342" s="4">
        <f t="shared" si="6"/>
        <v>1.988021083</v>
      </c>
    </row>
    <row r="343">
      <c r="G343" s="11">
        <f t="shared" si="2"/>
        <v>0.01561783586</v>
      </c>
      <c r="H343" s="11">
        <f t="shared" si="3"/>
        <v>0.01773700306</v>
      </c>
      <c r="I343" s="12">
        <f t="shared" ref="I343:J343" si="346">IFERROR(D343/B343*1000,0)</f>
        <v>32.97417087</v>
      </c>
      <c r="J343" s="12">
        <f t="shared" si="346"/>
        <v>17.73700306</v>
      </c>
      <c r="K343" s="12">
        <f t="shared" si="5"/>
        <v>201.2068966</v>
      </c>
      <c r="L343" s="4">
        <f t="shared" si="6"/>
        <v>1.69032445</v>
      </c>
    </row>
    <row r="344">
      <c r="G344" s="11">
        <f t="shared" si="2"/>
        <v>0.02253536063</v>
      </c>
      <c r="H344" s="11">
        <f t="shared" si="3"/>
        <v>0.02235294118</v>
      </c>
      <c r="I344" s="12">
        <f t="shared" ref="I344:J344" si="347">IFERROR(D344/B344*1000,0)</f>
        <v>38.91989342</v>
      </c>
      <c r="J344" s="12">
        <f t="shared" si="347"/>
        <v>22.35294118</v>
      </c>
      <c r="K344" s="12">
        <f t="shared" si="5"/>
        <v>135.0526316</v>
      </c>
      <c r="L344" s="4">
        <f t="shared" si="6"/>
        <v>1.747956403</v>
      </c>
    </row>
    <row r="345">
      <c r="G345" s="11">
        <f t="shared" si="2"/>
        <v>0.0197166547</v>
      </c>
      <c r="H345" s="11">
        <f t="shared" si="3"/>
        <v>0.01214128035</v>
      </c>
      <c r="I345" s="12">
        <f t="shared" ref="I345:J345" si="348">IFERROR(D345/B345*1000,0)</f>
        <v>31.72945094</v>
      </c>
      <c r="J345" s="12">
        <f t="shared" si="348"/>
        <v>12.14128035</v>
      </c>
      <c r="K345" s="12">
        <f t="shared" si="5"/>
        <v>148.7272727</v>
      </c>
      <c r="L345" s="4">
        <f t="shared" si="6"/>
        <v>1.122085048</v>
      </c>
    </row>
    <row r="346">
      <c r="G346" s="11">
        <f t="shared" si="2"/>
        <v>0.01053410268</v>
      </c>
      <c r="H346" s="11">
        <f t="shared" si="3"/>
        <v>0.01264044944</v>
      </c>
      <c r="I346" s="12">
        <f t="shared" ref="I346:J346" si="349">IFERROR(D346/B346*1000,0)</f>
        <v>22.71046013</v>
      </c>
      <c r="J346" s="12">
        <f t="shared" si="349"/>
        <v>12.64044944</v>
      </c>
      <c r="K346" s="12">
        <f t="shared" si="5"/>
        <v>197.6666667</v>
      </c>
      <c r="L346" s="4">
        <f t="shared" si="6"/>
        <v>1.158957655</v>
      </c>
    </row>
    <row r="347">
      <c r="G347" s="11">
        <f t="shared" si="2"/>
        <v>0.009885103579</v>
      </c>
      <c r="H347" s="11">
        <f t="shared" si="3"/>
        <v>0.0115942029</v>
      </c>
      <c r="I347" s="12">
        <f t="shared" ref="I347:J347" si="350">IFERROR(D347/B347*1000,0)</f>
        <v>18.05105871</v>
      </c>
      <c r="J347" s="12">
        <f t="shared" si="350"/>
        <v>11.5942029</v>
      </c>
      <c r="K347" s="12">
        <f t="shared" si="5"/>
        <v>150.75</v>
      </c>
      <c r="L347" s="4">
        <f t="shared" si="6"/>
        <v>0.9571428571</v>
      </c>
    </row>
    <row r="348">
      <c r="G348" s="11">
        <f t="shared" si="2"/>
        <v>0.01996588486</v>
      </c>
      <c r="H348" s="11">
        <f t="shared" si="3"/>
        <v>0.01922255446</v>
      </c>
      <c r="I348" s="12">
        <f t="shared" ref="I348:J348" si="351">IFERROR(D348/B348*1000,0)</f>
        <v>29.3901919</v>
      </c>
      <c r="J348" s="12">
        <f t="shared" si="351"/>
        <v>19.22255446</v>
      </c>
      <c r="K348" s="12">
        <f t="shared" si="5"/>
        <v>142.0888889</v>
      </c>
      <c r="L348" s="4">
        <f t="shared" si="6"/>
        <v>1.85548462</v>
      </c>
    </row>
    <row r="349">
      <c r="G349" s="11">
        <f t="shared" si="2"/>
        <v>0.02926208651</v>
      </c>
      <c r="H349" s="11">
        <f t="shared" si="3"/>
        <v>0.01739130435</v>
      </c>
      <c r="I349" s="12">
        <f t="shared" ref="I349:J349" si="352">IFERROR(D349/B349*1000,0)</f>
        <v>51.69635284</v>
      </c>
      <c r="J349" s="12">
        <f t="shared" si="352"/>
        <v>17.39130435</v>
      </c>
      <c r="K349" s="12">
        <f t="shared" si="5"/>
        <v>164.0833333</v>
      </c>
      <c r="L349" s="4">
        <f t="shared" si="6"/>
        <v>1.615258409</v>
      </c>
    </row>
    <row r="350">
      <c r="G350" s="11">
        <f t="shared" si="2"/>
        <v>0.02556488931</v>
      </c>
      <c r="H350" s="11">
        <f t="shared" si="3"/>
        <v>0.01819986764</v>
      </c>
      <c r="I350" s="12">
        <f t="shared" ref="I350:J350" si="353">IFERROR(D350/B350*1000,0)</f>
        <v>38.09354618</v>
      </c>
      <c r="J350" s="12">
        <f t="shared" si="353"/>
        <v>18.19986764</v>
      </c>
      <c r="K350" s="12">
        <f t="shared" si="5"/>
        <v>113.7636364</v>
      </c>
      <c r="L350" s="4">
        <f t="shared" si="6"/>
        <v>1.389518099</v>
      </c>
    </row>
    <row r="351">
      <c r="G351" s="11">
        <f t="shared" si="2"/>
        <v>0.02545800619</v>
      </c>
      <c r="H351" s="11">
        <f t="shared" si="3"/>
        <v>0.02403204272</v>
      </c>
      <c r="I351" s="12">
        <f t="shared" ref="I351:J351" si="354">IFERROR(D351/B351*1000,0)</f>
        <v>31.80268062</v>
      </c>
      <c r="J351" s="12">
        <f t="shared" si="354"/>
        <v>24.03204272</v>
      </c>
      <c r="K351" s="12">
        <f t="shared" si="5"/>
        <v>198.4814815</v>
      </c>
      <c r="L351" s="4">
        <f t="shared" si="6"/>
        <v>3.818311364</v>
      </c>
    </row>
    <row r="352">
      <c r="G352" s="11">
        <f t="shared" si="2"/>
        <v>0.01573697978</v>
      </c>
      <c r="H352" s="11">
        <f t="shared" si="3"/>
        <v>0.01216216216</v>
      </c>
      <c r="I352" s="12">
        <f t="shared" ref="I352:J352" si="355">IFERROR(D352/B352*1000,0)</f>
        <v>21.54264934</v>
      </c>
      <c r="J352" s="12">
        <f t="shared" si="355"/>
        <v>12.16216216</v>
      </c>
      <c r="K352" s="12">
        <f t="shared" si="5"/>
        <v>199.7777778</v>
      </c>
      <c r="L352" s="4">
        <f t="shared" si="6"/>
        <v>1.774925962</v>
      </c>
    </row>
    <row r="353">
      <c r="G353" s="11">
        <f t="shared" si="2"/>
        <v>0.01947573657</v>
      </c>
      <c r="H353" s="11">
        <f t="shared" si="3"/>
        <v>0.01668520578</v>
      </c>
      <c r="I353" s="12">
        <f t="shared" ref="I353:J353" si="356">IFERROR(D353/B353*1000,0)</f>
        <v>31.20667244</v>
      </c>
      <c r="J353" s="12">
        <f t="shared" si="356"/>
        <v>16.68520578</v>
      </c>
      <c r="K353" s="12">
        <f t="shared" si="5"/>
        <v>180.4333333</v>
      </c>
      <c r="L353" s="4">
        <f t="shared" si="6"/>
        <v>1.878861506</v>
      </c>
    </row>
    <row r="354">
      <c r="G354" s="11">
        <f t="shared" si="2"/>
        <v>0.02941371052</v>
      </c>
      <c r="H354" s="11">
        <f t="shared" si="3"/>
        <v>0.01574448943</v>
      </c>
      <c r="I354" s="12">
        <f t="shared" ref="I354:J354" si="357">IFERROR(D354/B354*1000,0)</f>
        <v>53.08493325</v>
      </c>
      <c r="J354" s="12">
        <f t="shared" si="357"/>
        <v>15.74448943</v>
      </c>
      <c r="K354" s="12">
        <f t="shared" si="5"/>
        <v>136.8857143</v>
      </c>
      <c r="L354" s="4">
        <f t="shared" si="6"/>
        <v>1.194167498</v>
      </c>
    </row>
    <row r="355">
      <c r="G355" s="11">
        <f t="shared" si="2"/>
        <v>0.02580452736</v>
      </c>
      <c r="H355" s="11">
        <f t="shared" si="3"/>
        <v>0.01474691112</v>
      </c>
      <c r="I355" s="12">
        <f t="shared" ref="I355:J355" si="358">IFERROR(D355/B355*1000,0)</f>
        <v>34.32032994</v>
      </c>
      <c r="J355" s="12">
        <f t="shared" si="358"/>
        <v>14.74691112</v>
      </c>
      <c r="K355" s="12">
        <f t="shared" si="5"/>
        <v>166.6486486</v>
      </c>
      <c r="L355" s="4">
        <f t="shared" si="6"/>
        <v>1.847767456</v>
      </c>
    </row>
    <row r="356">
      <c r="G356" s="11">
        <f t="shared" si="2"/>
        <v>0.01157162971</v>
      </c>
      <c r="H356" s="11">
        <f t="shared" si="3"/>
        <v>0.01520912548</v>
      </c>
      <c r="I356" s="12">
        <f t="shared" ref="I356:J356" si="359">IFERROR(D356/B356*1000,0)</f>
        <v>17.37944386</v>
      </c>
      <c r="J356" s="12">
        <f t="shared" si="359"/>
        <v>15.20912548</v>
      </c>
      <c r="K356" s="12">
        <f t="shared" si="5"/>
        <v>199.75</v>
      </c>
      <c r="L356" s="4">
        <f t="shared" si="6"/>
        <v>2.02278481</v>
      </c>
    </row>
    <row r="357">
      <c r="G357" s="11">
        <f t="shared" si="2"/>
        <v>0.01680472317</v>
      </c>
      <c r="H357" s="11">
        <f t="shared" si="3"/>
        <v>0.01415929204</v>
      </c>
      <c r="I357" s="12">
        <f t="shared" ref="I357:J357" si="360">IFERROR(D357/B357*1000,0)</f>
        <v>19.42209598</v>
      </c>
      <c r="J357" s="12">
        <f t="shared" si="360"/>
        <v>14.15929204</v>
      </c>
      <c r="K357" s="12">
        <f t="shared" si="5"/>
        <v>122.5</v>
      </c>
      <c r="L357" s="4">
        <f t="shared" si="6"/>
        <v>1.500765697</v>
      </c>
    </row>
    <row r="358">
      <c r="G358" s="11">
        <f t="shared" si="2"/>
        <v>0.01163299222</v>
      </c>
      <c r="H358" s="11">
        <f t="shared" si="3"/>
        <v>0.02005012531</v>
      </c>
      <c r="I358" s="12">
        <f t="shared" ref="I358:J358" si="361">IFERROR(D358/B358*1000,0)</f>
        <v>17.25997843</v>
      </c>
      <c r="J358" s="12">
        <f t="shared" si="361"/>
        <v>20.05012531</v>
      </c>
      <c r="K358" s="12">
        <f t="shared" si="5"/>
        <v>192.25</v>
      </c>
      <c r="L358" s="4">
        <f t="shared" si="6"/>
        <v>2.597972973</v>
      </c>
    </row>
    <row r="359">
      <c r="G359" s="11">
        <f t="shared" si="2"/>
        <v>0.02333342565</v>
      </c>
      <c r="H359" s="11">
        <f t="shared" si="3"/>
        <v>0.01899109792</v>
      </c>
      <c r="I359" s="12">
        <f t="shared" ref="I359:J359" si="362">IFERROR(D359/B359*1000,0)</f>
        <v>29.9249453</v>
      </c>
      <c r="J359" s="12">
        <f t="shared" si="362"/>
        <v>18.99109792</v>
      </c>
      <c r="K359" s="12">
        <f t="shared" si="5"/>
        <v>143.21875</v>
      </c>
      <c r="L359" s="4">
        <f t="shared" si="6"/>
        <v>2.120777418</v>
      </c>
    </row>
    <row r="360">
      <c r="G360" s="11">
        <f t="shared" si="2"/>
        <v>0.01348594519</v>
      </c>
      <c r="H360" s="11">
        <f t="shared" si="3"/>
        <v>0.016</v>
      </c>
      <c r="I360" s="12">
        <f t="shared" ref="I360:J360" si="363">IFERROR(D360/B360*1000,0)</f>
        <v>14.93752329</v>
      </c>
      <c r="J360" s="12">
        <f t="shared" si="363"/>
        <v>16</v>
      </c>
      <c r="K360" s="12">
        <f t="shared" si="5"/>
        <v>140.6818182</v>
      </c>
      <c r="L360" s="4">
        <f t="shared" si="6"/>
        <v>2.032173342</v>
      </c>
    </row>
    <row r="361">
      <c r="G361" s="11">
        <f t="shared" si="2"/>
        <v>0.02054532159</v>
      </c>
      <c r="H361" s="11">
        <f t="shared" si="3"/>
        <v>0.01355932203</v>
      </c>
      <c r="I361" s="12">
        <f t="shared" ref="I361:J361" si="364">IFERROR(D361/B361*1000,0)</f>
        <v>22.35609569</v>
      </c>
      <c r="J361" s="12">
        <f t="shared" si="364"/>
        <v>13.55932203</v>
      </c>
      <c r="K361" s="12">
        <f t="shared" si="5"/>
        <v>174.625</v>
      </c>
      <c r="L361" s="4">
        <f t="shared" si="6"/>
        <v>2.176012461</v>
      </c>
    </row>
    <row r="362">
      <c r="G362" s="11">
        <f t="shared" si="2"/>
        <v>0.02389137687</v>
      </c>
      <c r="H362" s="11">
        <f t="shared" si="3"/>
        <v>0.01152860803</v>
      </c>
      <c r="I362" s="12">
        <f t="shared" ref="I362:J362" si="365">IFERROR(D362/B362*1000,0)</f>
        <v>24.37083661</v>
      </c>
      <c r="J362" s="12">
        <f t="shared" si="365"/>
        <v>11.52860803</v>
      </c>
      <c r="K362" s="12">
        <f t="shared" si="5"/>
        <v>185.5555556</v>
      </c>
      <c r="L362" s="4">
        <f t="shared" si="6"/>
        <v>2.097111762</v>
      </c>
    </row>
    <row r="363">
      <c r="G363" s="11">
        <f t="shared" si="2"/>
        <v>0.02536181501</v>
      </c>
      <c r="H363" s="11">
        <f t="shared" si="3"/>
        <v>0.01771404471</v>
      </c>
      <c r="I363" s="12">
        <f t="shared" ref="I363:J363" si="366">IFERROR(D363/B363*1000,0)</f>
        <v>42.80809096</v>
      </c>
      <c r="J363" s="12">
        <f t="shared" si="366"/>
        <v>17.71404471</v>
      </c>
      <c r="K363" s="12">
        <f t="shared" si="5"/>
        <v>160.7380952</v>
      </c>
      <c r="L363" s="4">
        <f t="shared" si="6"/>
        <v>1.686906547</v>
      </c>
    </row>
    <row r="364">
      <c r="G364" s="11">
        <f t="shared" si="2"/>
        <v>0.01999716101</v>
      </c>
      <c r="H364" s="11">
        <f t="shared" si="3"/>
        <v>0.01330967169</v>
      </c>
      <c r="I364" s="12">
        <f t="shared" ref="I364:J364" si="367">IFERROR(D364/B364*1000,0)</f>
        <v>22.46353668</v>
      </c>
      <c r="J364" s="12">
        <f t="shared" si="367"/>
        <v>13.30967169</v>
      </c>
      <c r="K364" s="12">
        <f t="shared" si="5"/>
        <v>108.4</v>
      </c>
      <c r="L364" s="4">
        <f t="shared" si="6"/>
        <v>1.28436019</v>
      </c>
    </row>
    <row r="365">
      <c r="G365" s="11">
        <f t="shared" si="2"/>
        <v>0.02533663686</v>
      </c>
      <c r="H365" s="11">
        <f t="shared" si="3"/>
        <v>0.01955782313</v>
      </c>
      <c r="I365" s="12">
        <f t="shared" ref="I365:J365" si="368">IFERROR(D365/B365*1000,0)</f>
        <v>37.81105246</v>
      </c>
      <c r="J365" s="12">
        <f t="shared" si="368"/>
        <v>19.55782313</v>
      </c>
      <c r="K365" s="12">
        <f t="shared" si="5"/>
        <v>163.9130435</v>
      </c>
      <c r="L365" s="4">
        <f t="shared" si="6"/>
        <v>2.148148148</v>
      </c>
    </row>
    <row r="366">
      <c r="G366" s="11">
        <f t="shared" si="2"/>
        <v>0.02599180835</v>
      </c>
      <c r="H366" s="11">
        <f t="shared" si="3"/>
        <v>0.01878149336</v>
      </c>
      <c r="I366" s="12">
        <f t="shared" ref="I366:J366" si="369">IFERROR(D366/B366*1000,0)</f>
        <v>26.42044102</v>
      </c>
      <c r="J366" s="12">
        <f t="shared" si="369"/>
        <v>18.78149336</v>
      </c>
      <c r="K366" s="12">
        <f t="shared" si="5"/>
        <v>145.097561</v>
      </c>
      <c r="L366" s="4">
        <f t="shared" si="6"/>
        <v>2.680937359</v>
      </c>
    </row>
    <row r="367">
      <c r="G367" s="11">
        <f t="shared" si="2"/>
        <v>0.02017407555</v>
      </c>
      <c r="H367" s="11">
        <f t="shared" si="3"/>
        <v>0.01859014199</v>
      </c>
      <c r="I367" s="12">
        <f t="shared" ref="I367:J367" si="370">IFERROR(D367/B367*1000,0)</f>
        <v>30.1354895</v>
      </c>
      <c r="J367" s="12">
        <f t="shared" si="370"/>
        <v>18.59014199</v>
      </c>
      <c r="K367" s="12">
        <f t="shared" si="5"/>
        <v>156.0055291</v>
      </c>
      <c r="L367" s="4">
        <f t="shared" si="6"/>
        <v>1.941503108</v>
      </c>
    </row>
    <row r="368">
      <c r="G368" s="11"/>
      <c r="H368" s="11"/>
      <c r="I368" s="12"/>
      <c r="J368" s="12"/>
      <c r="K368" s="12"/>
    </row>
    <row r="369">
      <c r="G369" s="11"/>
      <c r="H369" s="11"/>
      <c r="I369" s="12"/>
      <c r="J369" s="12"/>
      <c r="K369" s="12"/>
    </row>
    <row r="370">
      <c r="G370" s="11"/>
      <c r="H370" s="11"/>
      <c r="I370" s="12"/>
      <c r="J370" s="12"/>
      <c r="K370" s="12"/>
    </row>
    <row r="371">
      <c r="G371" s="11"/>
      <c r="H371" s="11"/>
      <c r="I371" s="12"/>
      <c r="J371" s="12"/>
      <c r="K371" s="12"/>
    </row>
    <row r="372">
      <c r="G372" s="11"/>
      <c r="H372" s="11"/>
      <c r="I372" s="12"/>
      <c r="J372" s="12"/>
      <c r="K372" s="12"/>
    </row>
    <row r="373">
      <c r="G373" s="11"/>
      <c r="H373" s="11"/>
      <c r="I373" s="12"/>
      <c r="J373" s="12"/>
      <c r="K373" s="12"/>
    </row>
    <row r="374">
      <c r="G374" s="11"/>
      <c r="H374" s="11"/>
      <c r="I374" s="12"/>
      <c r="J374" s="12"/>
      <c r="K374" s="12"/>
    </row>
    <row r="375">
      <c r="G375" s="11"/>
      <c r="H375" s="11"/>
      <c r="I375" s="12"/>
      <c r="J375" s="12"/>
      <c r="K375" s="12"/>
    </row>
    <row r="376">
      <c r="G376" s="11"/>
      <c r="H376" s="11"/>
      <c r="I376" s="12"/>
      <c r="J376" s="12"/>
      <c r="K376" s="12"/>
    </row>
    <row r="377">
      <c r="G377" s="11"/>
      <c r="H377" s="11"/>
      <c r="I377" s="12"/>
      <c r="J377" s="12"/>
      <c r="K377" s="12"/>
    </row>
    <row r="378">
      <c r="G378" s="11"/>
      <c r="H378" s="11"/>
      <c r="I378" s="12"/>
      <c r="J378" s="12"/>
      <c r="K378" s="12"/>
    </row>
    <row r="379">
      <c r="G379" s="11"/>
      <c r="H379" s="11"/>
      <c r="I379" s="12"/>
      <c r="J379" s="12"/>
      <c r="K379" s="12"/>
    </row>
    <row r="380">
      <c r="G380" s="11"/>
      <c r="H380" s="11"/>
      <c r="I380" s="12"/>
      <c r="J380" s="12"/>
      <c r="K380" s="12"/>
    </row>
    <row r="381">
      <c r="G381" s="11"/>
      <c r="H381" s="11"/>
      <c r="I381" s="12"/>
      <c r="J381" s="12"/>
      <c r="K381" s="12"/>
    </row>
    <row r="382">
      <c r="G382" s="11"/>
      <c r="H382" s="11"/>
      <c r="I382" s="12"/>
      <c r="J382" s="12"/>
      <c r="K382" s="12"/>
    </row>
    <row r="383">
      <c r="G383" s="11"/>
      <c r="H383" s="11"/>
      <c r="I383" s="12"/>
      <c r="J383" s="12"/>
      <c r="K383" s="12"/>
    </row>
    <row r="384">
      <c r="G384" s="11"/>
      <c r="H384" s="11"/>
      <c r="I384" s="12"/>
      <c r="J384" s="12"/>
      <c r="K384" s="12"/>
    </row>
    <row r="385">
      <c r="G385" s="11"/>
      <c r="H385" s="11"/>
      <c r="I385" s="12"/>
      <c r="J385" s="12"/>
      <c r="K385" s="12"/>
    </row>
    <row r="386">
      <c r="G386" s="11"/>
      <c r="H386" s="11"/>
      <c r="I386" s="12"/>
      <c r="J386" s="12"/>
      <c r="K386" s="12"/>
    </row>
    <row r="387">
      <c r="G387" s="11"/>
      <c r="H387" s="11"/>
      <c r="I387" s="12"/>
      <c r="J387" s="12"/>
      <c r="K387" s="12"/>
    </row>
    <row r="388">
      <c r="G388" s="11"/>
      <c r="H388" s="11"/>
      <c r="I388" s="12"/>
      <c r="J388" s="12"/>
      <c r="K388" s="12"/>
    </row>
    <row r="389">
      <c r="G389" s="11"/>
      <c r="H389" s="11"/>
      <c r="I389" s="12"/>
      <c r="J389" s="12"/>
      <c r="K389" s="12"/>
    </row>
    <row r="390">
      <c r="G390" s="11"/>
      <c r="H390" s="11"/>
      <c r="I390" s="12"/>
      <c r="J390" s="12"/>
      <c r="K390" s="12"/>
    </row>
    <row r="391">
      <c r="G391" s="11"/>
      <c r="H391" s="11"/>
      <c r="I391" s="12"/>
      <c r="J391" s="12"/>
      <c r="K391" s="12"/>
    </row>
    <row r="392">
      <c r="G392" s="11"/>
      <c r="H392" s="11"/>
      <c r="I392" s="12"/>
      <c r="J392" s="12"/>
      <c r="K392" s="12"/>
    </row>
    <row r="393">
      <c r="G393" s="11"/>
      <c r="H393" s="11"/>
      <c r="I393" s="12"/>
      <c r="J393" s="12"/>
      <c r="K393" s="12"/>
    </row>
    <row r="394">
      <c r="G394" s="11"/>
      <c r="H394" s="11"/>
      <c r="I394" s="12"/>
      <c r="J394" s="12"/>
      <c r="K394" s="12"/>
    </row>
    <row r="395">
      <c r="G395" s="11"/>
      <c r="H395" s="11"/>
      <c r="I395" s="12"/>
      <c r="J395" s="12"/>
      <c r="K395" s="12"/>
    </row>
    <row r="396">
      <c r="G396" s="11"/>
      <c r="H396" s="11"/>
      <c r="I396" s="12"/>
      <c r="J396" s="12"/>
      <c r="K396" s="12"/>
    </row>
    <row r="397">
      <c r="G397" s="11"/>
      <c r="H397" s="11"/>
      <c r="I397" s="12"/>
      <c r="J397" s="12"/>
      <c r="K397" s="12"/>
    </row>
    <row r="398">
      <c r="G398" s="11"/>
      <c r="H398" s="11"/>
      <c r="I398" s="12"/>
      <c r="J398" s="12"/>
      <c r="K398" s="12"/>
    </row>
    <row r="399">
      <c r="G399" s="11"/>
      <c r="H399" s="11"/>
      <c r="I399" s="12"/>
      <c r="J399" s="12"/>
      <c r="K399" s="12"/>
    </row>
    <row r="400">
      <c r="G400" s="11"/>
      <c r="H400" s="11"/>
      <c r="I400" s="12"/>
      <c r="J400" s="12"/>
      <c r="K400" s="12"/>
    </row>
    <row r="401">
      <c r="G401" s="11"/>
      <c r="H401" s="11"/>
      <c r="I401" s="12"/>
      <c r="J401" s="12"/>
      <c r="K401" s="12"/>
    </row>
    <row r="402">
      <c r="G402" s="11"/>
      <c r="H402" s="11"/>
      <c r="I402" s="12"/>
      <c r="J402" s="12"/>
      <c r="K402" s="12"/>
    </row>
    <row r="403">
      <c r="G403" s="11"/>
      <c r="H403" s="11"/>
      <c r="I403" s="12"/>
      <c r="J403" s="12"/>
      <c r="K403" s="12"/>
    </row>
    <row r="404">
      <c r="G404" s="11"/>
      <c r="H404" s="11"/>
      <c r="I404" s="12"/>
      <c r="J404" s="12"/>
      <c r="K404" s="12"/>
    </row>
    <row r="405">
      <c r="G405" s="11"/>
      <c r="H405" s="11"/>
      <c r="I405" s="12"/>
      <c r="J405" s="12"/>
      <c r="K405" s="12"/>
    </row>
    <row r="406">
      <c r="G406" s="11"/>
      <c r="H406" s="11"/>
      <c r="I406" s="12"/>
      <c r="J406" s="12"/>
      <c r="K406" s="12"/>
    </row>
    <row r="407">
      <c r="G407" s="11"/>
      <c r="H407" s="11"/>
      <c r="I407" s="12"/>
      <c r="J407" s="12"/>
      <c r="K407" s="12"/>
    </row>
    <row r="408">
      <c r="G408" s="11"/>
      <c r="H408" s="11"/>
      <c r="I408" s="12"/>
      <c r="J408" s="12"/>
      <c r="K408" s="12"/>
    </row>
    <row r="409">
      <c r="G409" s="11"/>
      <c r="H409" s="11"/>
      <c r="I409" s="12"/>
      <c r="J409" s="12"/>
      <c r="K409" s="12"/>
    </row>
    <row r="410">
      <c r="G410" s="11"/>
      <c r="H410" s="11"/>
      <c r="I410" s="12"/>
      <c r="J410" s="12"/>
      <c r="K410" s="12"/>
    </row>
    <row r="411">
      <c r="G411" s="11"/>
      <c r="H411" s="11"/>
      <c r="I411" s="12"/>
      <c r="J411" s="12"/>
      <c r="K411" s="12"/>
    </row>
    <row r="412">
      <c r="G412" s="11"/>
      <c r="H412" s="11"/>
      <c r="I412" s="12"/>
      <c r="J412" s="12"/>
      <c r="K412" s="12"/>
    </row>
    <row r="413">
      <c r="G413" s="11"/>
      <c r="H413" s="11"/>
      <c r="I413" s="12"/>
      <c r="J413" s="12"/>
      <c r="K413" s="12"/>
    </row>
    <row r="414">
      <c r="G414" s="11"/>
      <c r="H414" s="11"/>
      <c r="I414" s="12"/>
      <c r="J414" s="12"/>
      <c r="K414" s="12"/>
    </row>
    <row r="415">
      <c r="G415" s="11"/>
      <c r="H415" s="11"/>
      <c r="I415" s="12"/>
      <c r="J415" s="12"/>
      <c r="K415" s="12"/>
    </row>
    <row r="416">
      <c r="G416" s="11"/>
      <c r="H416" s="11"/>
      <c r="I416" s="12"/>
      <c r="J416" s="12"/>
      <c r="K416" s="12"/>
    </row>
    <row r="417">
      <c r="G417" s="11"/>
      <c r="H417" s="11"/>
      <c r="I417" s="12"/>
      <c r="J417" s="12"/>
      <c r="K417" s="12"/>
    </row>
    <row r="418">
      <c r="G418" s="11"/>
      <c r="H418" s="11"/>
      <c r="I418" s="12"/>
      <c r="J418" s="12"/>
      <c r="K418" s="12"/>
    </row>
    <row r="419">
      <c r="G419" s="11"/>
      <c r="H419" s="11"/>
      <c r="I419" s="12"/>
      <c r="J419" s="12"/>
      <c r="K419" s="12"/>
    </row>
    <row r="420">
      <c r="G420" s="11"/>
      <c r="H420" s="11"/>
      <c r="I420" s="12"/>
      <c r="J420" s="12"/>
      <c r="K420" s="12"/>
    </row>
    <row r="421">
      <c r="G421" s="11"/>
      <c r="H421" s="11"/>
      <c r="I421" s="12"/>
      <c r="J421" s="12"/>
      <c r="K421" s="12"/>
    </row>
    <row r="422">
      <c r="G422" s="11"/>
      <c r="H422" s="11"/>
      <c r="I422" s="12"/>
      <c r="J422" s="12"/>
      <c r="K422" s="12"/>
    </row>
    <row r="423">
      <c r="G423" s="11"/>
      <c r="H423" s="11"/>
      <c r="I423" s="12"/>
      <c r="J423" s="12"/>
      <c r="K423" s="12"/>
    </row>
    <row r="424">
      <c r="G424" s="11"/>
      <c r="H424" s="11"/>
      <c r="I424" s="12"/>
      <c r="J424" s="12"/>
      <c r="K424" s="12"/>
    </row>
    <row r="425">
      <c r="G425" s="11"/>
      <c r="H425" s="11"/>
      <c r="I425" s="12"/>
      <c r="J425" s="12"/>
      <c r="K425" s="12"/>
    </row>
    <row r="426">
      <c r="G426" s="11"/>
      <c r="H426" s="11"/>
      <c r="I426" s="12"/>
      <c r="J426" s="12"/>
      <c r="K426" s="12"/>
    </row>
    <row r="427">
      <c r="G427" s="11"/>
      <c r="H427" s="11"/>
      <c r="I427" s="12"/>
      <c r="J427" s="12"/>
      <c r="K427" s="12"/>
    </row>
    <row r="428">
      <c r="G428" s="11"/>
      <c r="H428" s="11"/>
      <c r="I428" s="12"/>
      <c r="J428" s="12"/>
      <c r="K428" s="12"/>
    </row>
    <row r="429">
      <c r="G429" s="11"/>
      <c r="H429" s="11"/>
      <c r="I429" s="12"/>
      <c r="J429" s="12"/>
      <c r="K429" s="12"/>
    </row>
    <row r="430">
      <c r="G430" s="11"/>
      <c r="H430" s="11"/>
      <c r="I430" s="12"/>
      <c r="J430" s="12"/>
      <c r="K430" s="12"/>
    </row>
    <row r="431">
      <c r="G431" s="11"/>
      <c r="H431" s="11"/>
      <c r="I431" s="12"/>
      <c r="J431" s="12"/>
      <c r="K431" s="12"/>
    </row>
    <row r="432">
      <c r="G432" s="11"/>
      <c r="H432" s="11"/>
      <c r="I432" s="12"/>
      <c r="J432" s="12"/>
      <c r="K432" s="12"/>
    </row>
    <row r="433">
      <c r="G433" s="11"/>
      <c r="H433" s="11"/>
      <c r="I433" s="12"/>
      <c r="J433" s="12"/>
      <c r="K433" s="12"/>
    </row>
    <row r="434">
      <c r="G434" s="11"/>
      <c r="H434" s="11"/>
      <c r="I434" s="12"/>
      <c r="J434" s="12"/>
      <c r="K434" s="12"/>
    </row>
    <row r="435">
      <c r="G435" s="11"/>
      <c r="H435" s="11"/>
      <c r="I435" s="12"/>
      <c r="J435" s="12"/>
      <c r="K435" s="12"/>
    </row>
    <row r="436">
      <c r="G436" s="11"/>
      <c r="H436" s="11"/>
      <c r="I436" s="12"/>
      <c r="J436" s="12"/>
      <c r="K436" s="12"/>
    </row>
    <row r="437">
      <c r="G437" s="11"/>
      <c r="H437" s="11"/>
      <c r="I437" s="12"/>
      <c r="J437" s="12"/>
      <c r="K437" s="12"/>
    </row>
    <row r="438">
      <c r="G438" s="11"/>
      <c r="H438" s="11"/>
      <c r="I438" s="12"/>
      <c r="J438" s="12"/>
      <c r="K438" s="12"/>
    </row>
    <row r="439">
      <c r="G439" s="11"/>
      <c r="H439" s="11"/>
      <c r="I439" s="12"/>
      <c r="J439" s="12"/>
      <c r="K439" s="12"/>
    </row>
    <row r="440">
      <c r="G440" s="11"/>
      <c r="H440" s="11"/>
      <c r="I440" s="12"/>
      <c r="J440" s="12"/>
      <c r="K440" s="12"/>
    </row>
    <row r="441">
      <c r="G441" s="11"/>
      <c r="H441" s="11"/>
      <c r="I441" s="12"/>
      <c r="J441" s="12"/>
      <c r="K441" s="12"/>
    </row>
    <row r="442">
      <c r="G442" s="11"/>
      <c r="H442" s="11"/>
      <c r="I442" s="12"/>
      <c r="J442" s="12"/>
      <c r="K442" s="12"/>
    </row>
    <row r="443">
      <c r="G443" s="11"/>
      <c r="H443" s="11"/>
      <c r="I443" s="12"/>
      <c r="J443" s="12"/>
      <c r="K443" s="12"/>
    </row>
    <row r="444">
      <c r="G444" s="11"/>
      <c r="H444" s="11"/>
      <c r="I444" s="12"/>
      <c r="J444" s="12"/>
      <c r="K444" s="12"/>
    </row>
    <row r="445">
      <c r="G445" s="11"/>
      <c r="H445" s="11"/>
      <c r="I445" s="12"/>
      <c r="J445" s="12"/>
      <c r="K445" s="12"/>
    </row>
    <row r="446">
      <c r="G446" s="11"/>
      <c r="H446" s="11"/>
      <c r="I446" s="12"/>
      <c r="J446" s="12"/>
      <c r="K446" s="12"/>
    </row>
    <row r="447">
      <c r="G447" s="11"/>
      <c r="H447" s="11"/>
      <c r="I447" s="12"/>
      <c r="J447" s="12"/>
      <c r="K447" s="12"/>
    </row>
    <row r="448">
      <c r="G448" s="11"/>
      <c r="H448" s="11"/>
      <c r="I448" s="12"/>
      <c r="J448" s="12"/>
      <c r="K448" s="12"/>
    </row>
    <row r="449">
      <c r="G449" s="11"/>
      <c r="H449" s="11"/>
      <c r="I449" s="12"/>
      <c r="J449" s="12"/>
      <c r="K449" s="12"/>
    </row>
    <row r="450">
      <c r="G450" s="11"/>
      <c r="H450" s="11"/>
      <c r="I450" s="12"/>
      <c r="J450" s="12"/>
      <c r="K450" s="12"/>
    </row>
    <row r="451">
      <c r="G451" s="11"/>
      <c r="H451" s="11"/>
      <c r="I451" s="12"/>
      <c r="J451" s="12"/>
      <c r="K451" s="12"/>
    </row>
    <row r="452">
      <c r="G452" s="11"/>
      <c r="H452" s="11"/>
      <c r="I452" s="12"/>
      <c r="J452" s="12"/>
      <c r="K452" s="12"/>
    </row>
    <row r="453">
      <c r="G453" s="11"/>
      <c r="H453" s="11"/>
      <c r="I453" s="12"/>
      <c r="J453" s="12"/>
      <c r="K453" s="12"/>
    </row>
    <row r="454">
      <c r="G454" s="11"/>
      <c r="H454" s="11"/>
      <c r="I454" s="12"/>
      <c r="J454" s="12"/>
      <c r="K454" s="12"/>
    </row>
    <row r="455">
      <c r="G455" s="11"/>
      <c r="H455" s="11"/>
      <c r="I455" s="12"/>
      <c r="J455" s="12"/>
      <c r="K455" s="12"/>
    </row>
    <row r="456">
      <c r="G456" s="11"/>
      <c r="H456" s="11"/>
      <c r="I456" s="12"/>
      <c r="J456" s="12"/>
      <c r="K456" s="12"/>
    </row>
    <row r="457">
      <c r="G457" s="11"/>
      <c r="H457" s="11"/>
      <c r="I457" s="12"/>
      <c r="J457" s="12"/>
      <c r="K457" s="12"/>
    </row>
    <row r="458">
      <c r="G458" s="11"/>
      <c r="H458" s="11"/>
      <c r="I458" s="12"/>
      <c r="J458" s="12"/>
      <c r="K458" s="12"/>
    </row>
    <row r="459">
      <c r="G459" s="11"/>
      <c r="H459" s="11"/>
      <c r="I459" s="12"/>
      <c r="J459" s="12"/>
      <c r="K459" s="12"/>
    </row>
    <row r="460">
      <c r="G460" s="11"/>
      <c r="H460" s="11"/>
      <c r="I460" s="12"/>
      <c r="J460" s="12"/>
      <c r="K460" s="12"/>
    </row>
    <row r="461">
      <c r="G461" s="11"/>
      <c r="H461" s="11"/>
      <c r="I461" s="12"/>
      <c r="J461" s="12"/>
      <c r="K461" s="12"/>
    </row>
    <row r="462">
      <c r="G462" s="11"/>
      <c r="H462" s="11"/>
      <c r="I462" s="12"/>
      <c r="J462" s="12"/>
      <c r="K462" s="12"/>
    </row>
    <row r="463">
      <c r="G463" s="11"/>
      <c r="H463" s="11"/>
      <c r="I463" s="12"/>
      <c r="J463" s="12"/>
      <c r="K463" s="12"/>
    </row>
    <row r="464">
      <c r="G464" s="11"/>
      <c r="H464" s="11"/>
      <c r="I464" s="12"/>
      <c r="J464" s="12"/>
      <c r="K464" s="12"/>
    </row>
    <row r="465">
      <c r="G465" s="11"/>
      <c r="H465" s="11"/>
      <c r="I465" s="12"/>
      <c r="J465" s="12"/>
      <c r="K465" s="12"/>
    </row>
    <row r="466">
      <c r="G466" s="11"/>
      <c r="H466" s="11"/>
      <c r="I466" s="12"/>
      <c r="J466" s="12"/>
      <c r="K466" s="12"/>
    </row>
    <row r="467">
      <c r="G467" s="11"/>
      <c r="H467" s="11"/>
      <c r="I467" s="12"/>
      <c r="J467" s="12"/>
      <c r="K467" s="12"/>
    </row>
    <row r="468">
      <c r="G468" s="11"/>
      <c r="H468" s="11"/>
      <c r="I468" s="12"/>
      <c r="J468" s="12"/>
      <c r="K468" s="12"/>
    </row>
    <row r="469">
      <c r="G469" s="11"/>
      <c r="H469" s="11"/>
      <c r="I469" s="12"/>
      <c r="J469" s="12"/>
      <c r="K469" s="12"/>
    </row>
    <row r="470">
      <c r="G470" s="11"/>
      <c r="H470" s="11"/>
      <c r="I470" s="12"/>
      <c r="J470" s="12"/>
      <c r="K470" s="12"/>
    </row>
    <row r="471">
      <c r="G471" s="11"/>
      <c r="H471" s="11"/>
      <c r="I471" s="12"/>
      <c r="J471" s="12"/>
      <c r="K471" s="12"/>
    </row>
    <row r="472">
      <c r="G472" s="11"/>
      <c r="H472" s="11"/>
      <c r="I472" s="12"/>
      <c r="J472" s="12"/>
      <c r="K472" s="12"/>
    </row>
    <row r="473">
      <c r="G473" s="11"/>
      <c r="H473" s="11"/>
      <c r="I473" s="12"/>
      <c r="J473" s="12"/>
      <c r="K473" s="12"/>
    </row>
    <row r="474">
      <c r="G474" s="11"/>
      <c r="H474" s="11"/>
      <c r="I474" s="12"/>
      <c r="J474" s="12"/>
      <c r="K474" s="12"/>
    </row>
    <row r="475">
      <c r="G475" s="11"/>
      <c r="H475" s="11"/>
      <c r="I475" s="12"/>
      <c r="J475" s="12"/>
      <c r="K475" s="12"/>
    </row>
    <row r="476">
      <c r="G476" s="11"/>
      <c r="H476" s="11"/>
      <c r="I476" s="12"/>
      <c r="J476" s="12"/>
      <c r="K476" s="12"/>
    </row>
    <row r="477">
      <c r="G477" s="11"/>
      <c r="H477" s="11"/>
      <c r="I477" s="12"/>
      <c r="J477" s="12"/>
      <c r="K477" s="12"/>
    </row>
    <row r="478">
      <c r="G478" s="11"/>
      <c r="H478" s="11"/>
      <c r="I478" s="12"/>
      <c r="J478" s="12"/>
      <c r="K478" s="12"/>
    </row>
    <row r="479">
      <c r="G479" s="11"/>
      <c r="H479" s="11"/>
      <c r="I479" s="12"/>
      <c r="J479" s="12"/>
      <c r="K479" s="12"/>
    </row>
    <row r="480">
      <c r="G480" s="11"/>
      <c r="H480" s="11"/>
      <c r="I480" s="12"/>
      <c r="J480" s="12"/>
      <c r="K480" s="12"/>
    </row>
    <row r="481">
      <c r="G481" s="11"/>
      <c r="H481" s="11"/>
      <c r="I481" s="12"/>
      <c r="J481" s="12"/>
      <c r="K481" s="12"/>
    </row>
    <row r="482">
      <c r="G482" s="11"/>
      <c r="H482" s="11"/>
      <c r="I482" s="12"/>
      <c r="J482" s="12"/>
      <c r="K482" s="12"/>
    </row>
    <row r="483">
      <c r="G483" s="11"/>
      <c r="H483" s="11"/>
      <c r="I483" s="12"/>
      <c r="J483" s="12"/>
      <c r="K483" s="12"/>
    </row>
    <row r="484">
      <c r="G484" s="11"/>
      <c r="H484" s="11"/>
      <c r="I484" s="12"/>
      <c r="J484" s="12"/>
      <c r="K484" s="12"/>
    </row>
    <row r="485">
      <c r="G485" s="11"/>
      <c r="H485" s="11"/>
      <c r="I485" s="12"/>
      <c r="J485" s="12"/>
      <c r="K485" s="12"/>
    </row>
    <row r="486">
      <c r="G486" s="11"/>
      <c r="H486" s="11"/>
      <c r="I486" s="12"/>
      <c r="J486" s="12"/>
      <c r="K486" s="12"/>
    </row>
    <row r="487">
      <c r="G487" s="11"/>
      <c r="H487" s="11"/>
      <c r="I487" s="12"/>
      <c r="J487" s="12"/>
      <c r="K487" s="12"/>
    </row>
    <row r="488">
      <c r="G488" s="11"/>
      <c r="H488" s="11"/>
      <c r="I488" s="12"/>
      <c r="J488" s="12"/>
      <c r="K488" s="12"/>
    </row>
    <row r="489">
      <c r="G489" s="11"/>
      <c r="H489" s="11"/>
      <c r="I489" s="12"/>
      <c r="J489" s="12"/>
      <c r="K489" s="12"/>
    </row>
    <row r="490">
      <c r="G490" s="11"/>
      <c r="H490" s="11"/>
      <c r="I490" s="12"/>
      <c r="J490" s="12"/>
      <c r="K490" s="12"/>
    </row>
    <row r="491">
      <c r="G491" s="11"/>
      <c r="H491" s="11"/>
      <c r="I491" s="12"/>
      <c r="J491" s="12"/>
      <c r="K491" s="12"/>
    </row>
    <row r="492">
      <c r="G492" s="11"/>
      <c r="H492" s="11"/>
      <c r="I492" s="12"/>
      <c r="J492" s="12"/>
      <c r="K492" s="12"/>
    </row>
    <row r="493">
      <c r="G493" s="11"/>
      <c r="H493" s="11"/>
      <c r="I493" s="12"/>
      <c r="J493" s="12"/>
      <c r="K493" s="12"/>
    </row>
    <row r="494">
      <c r="G494" s="11"/>
      <c r="H494" s="11"/>
      <c r="I494" s="12"/>
      <c r="J494" s="12"/>
      <c r="K494" s="12"/>
    </row>
    <row r="495">
      <c r="G495" s="11"/>
      <c r="H495" s="11"/>
      <c r="I495" s="12"/>
      <c r="J495" s="12"/>
      <c r="K495" s="12"/>
    </row>
    <row r="496">
      <c r="G496" s="11"/>
      <c r="H496" s="11"/>
      <c r="I496" s="12"/>
      <c r="J496" s="12"/>
      <c r="K496" s="12"/>
    </row>
    <row r="497">
      <c r="G497" s="11"/>
      <c r="H497" s="11"/>
      <c r="I497" s="12"/>
      <c r="J497" s="12"/>
      <c r="K497" s="12"/>
    </row>
    <row r="498">
      <c r="G498" s="11"/>
      <c r="H498" s="11"/>
      <c r="I498" s="12"/>
      <c r="J498" s="12"/>
      <c r="K498" s="12"/>
    </row>
    <row r="499">
      <c r="G499" s="11"/>
      <c r="H499" s="11"/>
      <c r="I499" s="12"/>
      <c r="J499" s="12"/>
      <c r="K499" s="12"/>
    </row>
    <row r="500">
      <c r="G500" s="11"/>
      <c r="H500" s="11"/>
      <c r="I500" s="12"/>
      <c r="J500" s="12"/>
      <c r="K500" s="12"/>
    </row>
    <row r="501">
      <c r="G501" s="11"/>
      <c r="H501" s="11"/>
      <c r="I501" s="12"/>
      <c r="J501" s="12"/>
      <c r="K501" s="12"/>
    </row>
    <row r="502">
      <c r="G502" s="11"/>
      <c r="H502" s="11"/>
      <c r="I502" s="12"/>
      <c r="J502" s="12"/>
      <c r="K502" s="12"/>
    </row>
    <row r="503">
      <c r="G503" s="11"/>
      <c r="H503" s="11"/>
      <c r="I503" s="12"/>
      <c r="J503" s="12"/>
      <c r="K503" s="12"/>
    </row>
    <row r="504">
      <c r="G504" s="11"/>
      <c r="H504" s="11"/>
      <c r="I504" s="12"/>
      <c r="J504" s="12"/>
      <c r="K504" s="12"/>
    </row>
    <row r="505">
      <c r="G505" s="11"/>
      <c r="H505" s="11"/>
      <c r="I505" s="12"/>
      <c r="J505" s="12"/>
      <c r="K505" s="12"/>
    </row>
    <row r="506">
      <c r="G506" s="11"/>
      <c r="H506" s="11"/>
      <c r="I506" s="12"/>
      <c r="J506" s="12"/>
      <c r="K506" s="12"/>
    </row>
    <row r="507">
      <c r="G507" s="11"/>
      <c r="H507" s="11"/>
      <c r="I507" s="12"/>
      <c r="J507" s="12"/>
      <c r="K507" s="12"/>
    </row>
    <row r="508">
      <c r="G508" s="11"/>
      <c r="H508" s="11"/>
      <c r="I508" s="12"/>
      <c r="J508" s="12"/>
      <c r="K508" s="12"/>
    </row>
    <row r="509">
      <c r="G509" s="11"/>
      <c r="H509" s="11"/>
      <c r="I509" s="12"/>
      <c r="J509" s="12"/>
      <c r="K509" s="12"/>
    </row>
    <row r="510">
      <c r="G510" s="11"/>
      <c r="H510" s="11"/>
      <c r="I510" s="12"/>
      <c r="J510" s="12"/>
      <c r="K510" s="12"/>
    </row>
    <row r="511">
      <c r="G511" s="11"/>
      <c r="H511" s="11"/>
      <c r="I511" s="12"/>
      <c r="J511" s="12"/>
      <c r="K511" s="12"/>
    </row>
    <row r="512">
      <c r="G512" s="11"/>
      <c r="H512" s="11"/>
      <c r="I512" s="12"/>
      <c r="J512" s="12"/>
      <c r="K512" s="12"/>
    </row>
    <row r="513">
      <c r="G513" s="11"/>
      <c r="H513" s="11"/>
      <c r="I513" s="12"/>
      <c r="J513" s="12"/>
      <c r="K513" s="12"/>
    </row>
    <row r="514">
      <c r="G514" s="11"/>
      <c r="H514" s="11"/>
      <c r="I514" s="12"/>
      <c r="J514" s="12"/>
      <c r="K514" s="12"/>
    </row>
    <row r="515">
      <c r="G515" s="11"/>
      <c r="H515" s="11"/>
      <c r="I515" s="12"/>
      <c r="J515" s="12"/>
      <c r="K515" s="12"/>
    </row>
    <row r="516">
      <c r="G516" s="11"/>
      <c r="H516" s="11"/>
      <c r="I516" s="12"/>
      <c r="J516" s="12"/>
      <c r="K516" s="12"/>
    </row>
    <row r="517">
      <c r="G517" s="11"/>
      <c r="H517" s="11"/>
      <c r="I517" s="12"/>
      <c r="J517" s="12"/>
      <c r="K517" s="12"/>
    </row>
    <row r="518">
      <c r="G518" s="11"/>
      <c r="H518" s="11"/>
      <c r="I518" s="12"/>
      <c r="J518" s="12"/>
      <c r="K518" s="12"/>
    </row>
    <row r="519">
      <c r="G519" s="11"/>
      <c r="H519" s="11"/>
      <c r="I519" s="12"/>
      <c r="J519" s="12"/>
      <c r="K519" s="12"/>
    </row>
    <row r="520">
      <c r="G520" s="11"/>
      <c r="H520" s="11"/>
      <c r="I520" s="12"/>
      <c r="J520" s="12"/>
      <c r="K520" s="12"/>
    </row>
    <row r="521">
      <c r="G521" s="11"/>
      <c r="H521" s="11"/>
      <c r="I521" s="12"/>
      <c r="J521" s="12"/>
      <c r="K521" s="12"/>
    </row>
    <row r="522">
      <c r="G522" s="11"/>
      <c r="H522" s="11"/>
      <c r="I522" s="12"/>
      <c r="J522" s="12"/>
      <c r="K522" s="12"/>
    </row>
    <row r="523">
      <c r="G523" s="11"/>
      <c r="H523" s="11"/>
      <c r="I523" s="12"/>
      <c r="J523" s="12"/>
      <c r="K523" s="12"/>
    </row>
    <row r="524">
      <c r="G524" s="11"/>
      <c r="H524" s="11"/>
      <c r="I524" s="12"/>
      <c r="J524" s="12"/>
      <c r="K524" s="12"/>
    </row>
    <row r="525">
      <c r="G525" s="11"/>
      <c r="H525" s="11"/>
      <c r="I525" s="12"/>
      <c r="J525" s="12"/>
      <c r="K525" s="12"/>
    </row>
    <row r="526">
      <c r="G526" s="11"/>
      <c r="H526" s="11"/>
      <c r="I526" s="12"/>
      <c r="J526" s="12"/>
      <c r="K526" s="12"/>
    </row>
    <row r="527">
      <c r="G527" s="11"/>
      <c r="H527" s="11"/>
      <c r="I527" s="12"/>
      <c r="J527" s="12"/>
      <c r="K527" s="12"/>
    </row>
    <row r="528">
      <c r="G528" s="11"/>
      <c r="H528" s="11"/>
      <c r="I528" s="12"/>
      <c r="J528" s="12"/>
      <c r="K528" s="12"/>
    </row>
    <row r="529">
      <c r="G529" s="11"/>
      <c r="H529" s="11"/>
      <c r="I529" s="12"/>
      <c r="J529" s="12"/>
      <c r="K529" s="12"/>
    </row>
    <row r="530">
      <c r="G530" s="11"/>
      <c r="H530" s="11"/>
      <c r="I530" s="12"/>
      <c r="J530" s="12"/>
      <c r="K530" s="12"/>
    </row>
    <row r="531">
      <c r="G531" s="11"/>
      <c r="H531" s="11"/>
      <c r="I531" s="12"/>
      <c r="J531" s="12"/>
      <c r="K531" s="12"/>
    </row>
    <row r="532">
      <c r="G532" s="11"/>
      <c r="H532" s="11"/>
      <c r="I532" s="12"/>
      <c r="J532" s="12"/>
      <c r="K532" s="12"/>
    </row>
    <row r="533">
      <c r="G533" s="11"/>
      <c r="H533" s="11"/>
      <c r="I533" s="12"/>
      <c r="J533" s="12"/>
      <c r="K533" s="12"/>
    </row>
    <row r="534">
      <c r="G534" s="11"/>
      <c r="H534" s="11"/>
      <c r="I534" s="12"/>
      <c r="J534" s="12"/>
      <c r="K534" s="12"/>
    </row>
    <row r="535">
      <c r="G535" s="11"/>
      <c r="H535" s="11"/>
      <c r="I535" s="12"/>
      <c r="J535" s="12"/>
      <c r="K535" s="12"/>
    </row>
    <row r="536">
      <c r="G536" s="11"/>
      <c r="H536" s="11"/>
      <c r="I536" s="12"/>
      <c r="J536" s="12"/>
      <c r="K536" s="12"/>
    </row>
    <row r="537">
      <c r="G537" s="11"/>
      <c r="H537" s="11"/>
      <c r="I537" s="12"/>
      <c r="J537" s="12"/>
      <c r="K537" s="12"/>
    </row>
    <row r="538">
      <c r="G538" s="11"/>
      <c r="H538" s="11"/>
      <c r="I538" s="12"/>
      <c r="J538" s="12"/>
      <c r="K538" s="12"/>
    </row>
    <row r="539">
      <c r="G539" s="11"/>
      <c r="H539" s="11"/>
      <c r="I539" s="12"/>
      <c r="J539" s="12"/>
      <c r="K539" s="12"/>
    </row>
    <row r="540">
      <c r="G540" s="11"/>
      <c r="H540" s="11"/>
      <c r="I540" s="12"/>
      <c r="J540" s="12"/>
      <c r="K540" s="12"/>
    </row>
    <row r="541">
      <c r="G541" s="11"/>
      <c r="H541" s="11"/>
      <c r="I541" s="12"/>
      <c r="J541" s="12"/>
      <c r="K541" s="12"/>
    </row>
    <row r="542">
      <c r="G542" s="11"/>
      <c r="H542" s="11"/>
      <c r="I542" s="12"/>
      <c r="J542" s="12"/>
      <c r="K542" s="12"/>
    </row>
    <row r="543">
      <c r="G543" s="11"/>
      <c r="H543" s="11"/>
      <c r="I543" s="12"/>
      <c r="J543" s="12"/>
      <c r="K543" s="12"/>
    </row>
    <row r="544">
      <c r="G544" s="11"/>
      <c r="H544" s="11"/>
      <c r="I544" s="12"/>
      <c r="J544" s="12"/>
      <c r="K544" s="12"/>
    </row>
    <row r="545">
      <c r="G545" s="11"/>
      <c r="H545" s="11"/>
      <c r="I545" s="12"/>
      <c r="J545" s="12"/>
      <c r="K545" s="12"/>
    </row>
    <row r="546">
      <c r="G546" s="11"/>
      <c r="H546" s="11"/>
      <c r="I546" s="12"/>
      <c r="J546" s="12"/>
      <c r="K546" s="12"/>
    </row>
    <row r="547">
      <c r="G547" s="11"/>
      <c r="H547" s="11"/>
      <c r="I547" s="12"/>
      <c r="J547" s="12"/>
      <c r="K547" s="12"/>
    </row>
    <row r="548">
      <c r="G548" s="11"/>
      <c r="H548" s="11"/>
      <c r="I548" s="12"/>
      <c r="J548" s="12"/>
      <c r="K548" s="12"/>
    </row>
    <row r="549">
      <c r="G549" s="11"/>
      <c r="H549" s="11"/>
      <c r="I549" s="12"/>
      <c r="J549" s="12"/>
      <c r="K549" s="12"/>
    </row>
    <row r="550">
      <c r="G550" s="11"/>
      <c r="H550" s="11"/>
      <c r="I550" s="12"/>
      <c r="J550" s="12"/>
      <c r="K550" s="12"/>
    </row>
    <row r="551">
      <c r="G551" s="11"/>
      <c r="H551" s="11"/>
      <c r="I551" s="12"/>
      <c r="J551" s="12"/>
      <c r="K551" s="12"/>
    </row>
    <row r="552">
      <c r="G552" s="11"/>
      <c r="H552" s="11"/>
      <c r="I552" s="12"/>
      <c r="J552" s="12"/>
      <c r="K552" s="12"/>
    </row>
    <row r="553">
      <c r="G553" s="11"/>
      <c r="H553" s="11"/>
      <c r="I553" s="12"/>
      <c r="J553" s="12"/>
      <c r="K553" s="12"/>
    </row>
    <row r="554">
      <c r="G554" s="11"/>
      <c r="H554" s="11"/>
      <c r="I554" s="12"/>
      <c r="J554" s="12"/>
      <c r="K554" s="12"/>
    </row>
    <row r="555">
      <c r="G555" s="11"/>
      <c r="H555" s="11"/>
      <c r="I555" s="12"/>
      <c r="J555" s="12"/>
      <c r="K555" s="12"/>
    </row>
    <row r="556">
      <c r="G556" s="11"/>
      <c r="H556" s="11"/>
      <c r="I556" s="12"/>
      <c r="J556" s="12"/>
      <c r="K556" s="12"/>
    </row>
    <row r="557">
      <c r="G557" s="11"/>
      <c r="H557" s="11"/>
      <c r="I557" s="12"/>
      <c r="J557" s="12"/>
      <c r="K557" s="12"/>
    </row>
    <row r="558">
      <c r="G558" s="11"/>
      <c r="H558" s="11"/>
      <c r="I558" s="12"/>
      <c r="J558" s="12"/>
      <c r="K558" s="12"/>
    </row>
    <row r="559">
      <c r="G559" s="11"/>
      <c r="H559" s="11"/>
      <c r="I559" s="12"/>
      <c r="J559" s="12"/>
      <c r="K559" s="12"/>
    </row>
    <row r="560">
      <c r="G560" s="11"/>
      <c r="H560" s="11"/>
      <c r="I560" s="12"/>
      <c r="J560" s="12"/>
      <c r="K560" s="12"/>
    </row>
    <row r="561">
      <c r="G561" s="11"/>
      <c r="H561" s="11"/>
      <c r="I561" s="12"/>
      <c r="J561" s="12"/>
      <c r="K561" s="12"/>
    </row>
    <row r="562">
      <c r="G562" s="11"/>
      <c r="H562" s="11"/>
      <c r="I562" s="12"/>
      <c r="J562" s="12"/>
      <c r="K562" s="12"/>
    </row>
    <row r="563">
      <c r="G563" s="11"/>
      <c r="H563" s="11"/>
      <c r="I563" s="12"/>
      <c r="J563" s="12"/>
      <c r="K563" s="12"/>
    </row>
    <row r="564">
      <c r="G564" s="11"/>
      <c r="H564" s="11"/>
      <c r="I564" s="12"/>
      <c r="J564" s="12"/>
      <c r="K564" s="12"/>
    </row>
    <row r="565">
      <c r="G565" s="11"/>
      <c r="H565" s="11"/>
      <c r="I565" s="12"/>
      <c r="J565" s="12"/>
      <c r="K565" s="12"/>
    </row>
    <row r="566">
      <c r="G566" s="11"/>
      <c r="H566" s="11"/>
      <c r="I566" s="12"/>
      <c r="J566" s="12"/>
      <c r="K566" s="12"/>
    </row>
    <row r="567">
      <c r="G567" s="11"/>
      <c r="H567" s="11"/>
      <c r="I567" s="12"/>
      <c r="J567" s="12"/>
      <c r="K567" s="12"/>
    </row>
    <row r="568">
      <c r="G568" s="11"/>
      <c r="H568" s="11"/>
      <c r="I568" s="12"/>
      <c r="J568" s="12"/>
      <c r="K568" s="12"/>
    </row>
    <row r="569">
      <c r="G569" s="11"/>
      <c r="H569" s="11"/>
      <c r="I569" s="12"/>
      <c r="J569" s="12"/>
      <c r="K569" s="12"/>
    </row>
    <row r="570">
      <c r="G570" s="11"/>
      <c r="H570" s="11"/>
      <c r="I570" s="12"/>
      <c r="J570" s="12"/>
      <c r="K570" s="12"/>
    </row>
    <row r="571">
      <c r="G571" s="11"/>
      <c r="H571" s="11"/>
      <c r="I571" s="12"/>
      <c r="J571" s="12"/>
      <c r="K571" s="12"/>
    </row>
    <row r="572">
      <c r="G572" s="11"/>
      <c r="H572" s="11"/>
      <c r="I572" s="12"/>
      <c r="J572" s="12"/>
      <c r="K572" s="12"/>
    </row>
    <row r="573">
      <c r="G573" s="11"/>
      <c r="H573" s="11"/>
      <c r="I573" s="12"/>
      <c r="J573" s="12"/>
      <c r="K573" s="12"/>
    </row>
    <row r="574">
      <c r="G574" s="11"/>
      <c r="H574" s="11"/>
      <c r="I574" s="12"/>
      <c r="J574" s="12"/>
      <c r="K574" s="12"/>
    </row>
    <row r="575">
      <c r="G575" s="11"/>
      <c r="H575" s="11"/>
      <c r="I575" s="12"/>
      <c r="J575" s="12"/>
      <c r="K575" s="12"/>
    </row>
    <row r="576">
      <c r="G576" s="11"/>
      <c r="H576" s="11"/>
      <c r="I576" s="12"/>
      <c r="J576" s="12"/>
      <c r="K576" s="12"/>
    </row>
    <row r="577">
      <c r="G577" s="11"/>
      <c r="H577" s="11"/>
      <c r="I577" s="12"/>
      <c r="J577" s="12"/>
      <c r="K577" s="12"/>
    </row>
    <row r="578">
      <c r="G578" s="11"/>
      <c r="H578" s="11"/>
      <c r="I578" s="12"/>
      <c r="J578" s="12"/>
      <c r="K578" s="12"/>
    </row>
    <row r="579">
      <c r="G579" s="11"/>
      <c r="H579" s="11"/>
      <c r="I579" s="12"/>
      <c r="J579" s="12"/>
      <c r="K579" s="12"/>
    </row>
    <row r="580">
      <c r="G580" s="11"/>
      <c r="H580" s="11"/>
      <c r="I580" s="12"/>
      <c r="J580" s="12"/>
      <c r="K580" s="12"/>
    </row>
    <row r="581">
      <c r="G581" s="11"/>
      <c r="H581" s="11"/>
      <c r="I581" s="12"/>
      <c r="J581" s="12"/>
      <c r="K581" s="12"/>
    </row>
    <row r="582">
      <c r="G582" s="11"/>
      <c r="H582" s="11"/>
      <c r="I582" s="12"/>
      <c r="J582" s="12"/>
      <c r="K582" s="12"/>
    </row>
    <row r="583">
      <c r="G583" s="11"/>
      <c r="H583" s="11"/>
      <c r="I583" s="12"/>
      <c r="J583" s="12"/>
      <c r="K583" s="12"/>
    </row>
    <row r="584">
      <c r="G584" s="11"/>
      <c r="H584" s="11"/>
      <c r="I584" s="12"/>
      <c r="J584" s="12"/>
      <c r="K584" s="12"/>
    </row>
    <row r="585">
      <c r="G585" s="11"/>
      <c r="H585" s="11"/>
      <c r="I585" s="12"/>
      <c r="J585" s="12"/>
      <c r="K585" s="12"/>
    </row>
    <row r="586">
      <c r="G586" s="11"/>
      <c r="H586" s="11"/>
      <c r="I586" s="12"/>
      <c r="J586" s="12"/>
      <c r="K586" s="12"/>
    </row>
    <row r="587">
      <c r="G587" s="11"/>
      <c r="H587" s="11"/>
      <c r="I587" s="12"/>
      <c r="J587" s="12"/>
      <c r="K587" s="12"/>
    </row>
    <row r="588">
      <c r="G588" s="11"/>
      <c r="H588" s="11"/>
      <c r="I588" s="12"/>
      <c r="J588" s="12"/>
      <c r="K588" s="12"/>
    </row>
    <row r="589">
      <c r="G589" s="11"/>
      <c r="H589" s="11"/>
      <c r="I589" s="12"/>
      <c r="J589" s="12"/>
      <c r="K589" s="12"/>
    </row>
    <row r="590">
      <c r="G590" s="11"/>
      <c r="H590" s="11"/>
      <c r="I590" s="12"/>
      <c r="J590" s="12"/>
      <c r="K590" s="12"/>
    </row>
    <row r="591">
      <c r="G591" s="11"/>
      <c r="H591" s="11"/>
      <c r="I591" s="12"/>
      <c r="J591" s="12"/>
      <c r="K591" s="12"/>
    </row>
    <row r="592">
      <c r="G592" s="11"/>
      <c r="H592" s="11"/>
      <c r="I592" s="12"/>
      <c r="J592" s="12"/>
      <c r="K592" s="12"/>
    </row>
    <row r="593">
      <c r="G593" s="11"/>
      <c r="H593" s="11"/>
      <c r="I593" s="12"/>
      <c r="J593" s="12"/>
      <c r="K593" s="12"/>
    </row>
    <row r="594">
      <c r="G594" s="11"/>
      <c r="H594" s="11"/>
      <c r="I594" s="12"/>
      <c r="J594" s="12"/>
      <c r="K594" s="12"/>
    </row>
    <row r="595">
      <c r="G595" s="11"/>
      <c r="H595" s="11"/>
      <c r="I595" s="12"/>
      <c r="J595" s="12"/>
      <c r="K595" s="12"/>
    </row>
    <row r="596">
      <c r="G596" s="11"/>
      <c r="H596" s="11"/>
      <c r="I596" s="12"/>
      <c r="J596" s="12"/>
      <c r="K596" s="12"/>
    </row>
    <row r="597">
      <c r="G597" s="11"/>
      <c r="H597" s="11"/>
      <c r="I597" s="12"/>
      <c r="J597" s="12"/>
      <c r="K597" s="12"/>
    </row>
    <row r="598">
      <c r="G598" s="11"/>
      <c r="H598" s="11"/>
      <c r="I598" s="12"/>
      <c r="J598" s="12"/>
      <c r="K598" s="12"/>
    </row>
    <row r="599">
      <c r="G599" s="11"/>
      <c r="H599" s="11"/>
      <c r="I599" s="12"/>
      <c r="J599" s="12"/>
      <c r="K599" s="12"/>
    </row>
    <row r="600">
      <c r="G600" s="11"/>
      <c r="H600" s="11"/>
      <c r="I600" s="12"/>
      <c r="J600" s="12"/>
      <c r="K600" s="12"/>
    </row>
    <row r="601">
      <c r="G601" s="11"/>
      <c r="H601" s="11"/>
      <c r="I601" s="12"/>
      <c r="J601" s="12"/>
      <c r="K601" s="12"/>
    </row>
    <row r="602">
      <c r="G602" s="11"/>
      <c r="H602" s="11"/>
      <c r="I602" s="12"/>
      <c r="J602" s="12"/>
      <c r="K602" s="12"/>
    </row>
    <row r="603">
      <c r="G603" s="11"/>
      <c r="H603" s="11"/>
      <c r="I603" s="12"/>
      <c r="J603" s="12"/>
      <c r="K603" s="12"/>
    </row>
    <row r="604">
      <c r="G604" s="11"/>
      <c r="H604" s="11"/>
      <c r="I604" s="12"/>
      <c r="J604" s="12"/>
      <c r="K604" s="12"/>
    </row>
    <row r="605">
      <c r="G605" s="11"/>
      <c r="H605" s="11"/>
      <c r="I605" s="12"/>
      <c r="J605" s="12"/>
      <c r="K605" s="12"/>
    </row>
    <row r="606">
      <c r="G606" s="11"/>
      <c r="H606" s="11"/>
      <c r="I606" s="12"/>
      <c r="J606" s="12"/>
      <c r="K606" s="12"/>
    </row>
    <row r="607">
      <c r="G607" s="11"/>
      <c r="H607" s="11"/>
      <c r="I607" s="12"/>
      <c r="J607" s="12"/>
      <c r="K607" s="12"/>
    </row>
    <row r="608">
      <c r="G608" s="11"/>
      <c r="H608" s="11"/>
      <c r="I608" s="12"/>
      <c r="J608" s="12"/>
      <c r="K608" s="12"/>
    </row>
    <row r="609">
      <c r="G609" s="11"/>
      <c r="H609" s="11"/>
      <c r="I609" s="12"/>
      <c r="J609" s="12"/>
      <c r="K609" s="12"/>
    </row>
    <row r="610">
      <c r="G610" s="11"/>
      <c r="H610" s="11"/>
      <c r="I610" s="12"/>
      <c r="J610" s="12"/>
      <c r="K610" s="12"/>
    </row>
    <row r="611">
      <c r="G611" s="11"/>
      <c r="H611" s="11"/>
      <c r="I611" s="12"/>
      <c r="J611" s="12"/>
      <c r="K611" s="12"/>
    </row>
    <row r="612">
      <c r="G612" s="11"/>
      <c r="H612" s="11"/>
      <c r="I612" s="12"/>
      <c r="J612" s="12"/>
      <c r="K612" s="12"/>
    </row>
    <row r="613">
      <c r="G613" s="11"/>
      <c r="H613" s="11"/>
      <c r="I613" s="12"/>
      <c r="J613" s="12"/>
      <c r="K613" s="12"/>
    </row>
    <row r="614">
      <c r="G614" s="11"/>
      <c r="H614" s="11"/>
      <c r="I614" s="12"/>
      <c r="J614" s="12"/>
      <c r="K614" s="12"/>
    </row>
    <row r="615">
      <c r="G615" s="11"/>
      <c r="H615" s="11"/>
      <c r="I615" s="12"/>
      <c r="J615" s="12"/>
      <c r="K615" s="12"/>
    </row>
    <row r="616">
      <c r="G616" s="11"/>
      <c r="H616" s="11"/>
      <c r="I616" s="12"/>
      <c r="J616" s="12"/>
      <c r="K616" s="12"/>
    </row>
    <row r="617">
      <c r="G617" s="11"/>
      <c r="H617" s="11"/>
      <c r="I617" s="12"/>
      <c r="J617" s="12"/>
      <c r="K617" s="12"/>
    </row>
    <row r="618">
      <c r="G618" s="11"/>
      <c r="H618" s="11"/>
      <c r="I618" s="12"/>
      <c r="J618" s="12"/>
      <c r="K618" s="12"/>
    </row>
    <row r="619">
      <c r="G619" s="11"/>
      <c r="H619" s="11"/>
      <c r="I619" s="12"/>
      <c r="J619" s="12"/>
      <c r="K619" s="12"/>
    </row>
    <row r="620">
      <c r="G620" s="11"/>
      <c r="H620" s="11"/>
      <c r="I620" s="12"/>
      <c r="J620" s="12"/>
      <c r="K620" s="12"/>
    </row>
    <row r="621">
      <c r="G621" s="11"/>
      <c r="H621" s="11"/>
      <c r="I621" s="12"/>
      <c r="J621" s="12"/>
      <c r="K621" s="12"/>
    </row>
    <row r="622">
      <c r="G622" s="11"/>
      <c r="H622" s="11"/>
      <c r="I622" s="12"/>
      <c r="J622" s="12"/>
      <c r="K622" s="12"/>
    </row>
    <row r="623">
      <c r="G623" s="11"/>
      <c r="H623" s="11"/>
      <c r="I623" s="12"/>
      <c r="J623" s="12"/>
      <c r="K623" s="12"/>
    </row>
    <row r="624">
      <c r="G624" s="11"/>
      <c r="H624" s="11"/>
      <c r="I624" s="12"/>
      <c r="J624" s="12"/>
      <c r="K624" s="12"/>
    </row>
    <row r="625">
      <c r="G625" s="11"/>
      <c r="H625" s="11"/>
      <c r="I625" s="12"/>
      <c r="J625" s="12"/>
      <c r="K625" s="12"/>
    </row>
    <row r="626">
      <c r="G626" s="11"/>
      <c r="H626" s="11"/>
      <c r="I626" s="12"/>
      <c r="J626" s="12"/>
      <c r="K626" s="12"/>
    </row>
    <row r="627">
      <c r="G627" s="11"/>
      <c r="H627" s="11"/>
      <c r="I627" s="12"/>
      <c r="J627" s="12"/>
      <c r="K627" s="12"/>
    </row>
    <row r="628">
      <c r="G628" s="11"/>
      <c r="H628" s="11"/>
      <c r="I628" s="12"/>
      <c r="J628" s="12"/>
      <c r="K628" s="12"/>
    </row>
    <row r="629">
      <c r="G629" s="11"/>
      <c r="H629" s="11"/>
      <c r="I629" s="12"/>
      <c r="J629" s="12"/>
      <c r="K629" s="12"/>
    </row>
    <row r="630">
      <c r="G630" s="11"/>
      <c r="H630" s="11"/>
      <c r="I630" s="12"/>
      <c r="J630" s="12"/>
      <c r="K630" s="12"/>
    </row>
    <row r="631">
      <c r="G631" s="11"/>
      <c r="H631" s="11"/>
      <c r="I631" s="12"/>
      <c r="J631" s="12"/>
      <c r="K631" s="12"/>
    </row>
    <row r="632">
      <c r="G632" s="11"/>
      <c r="H632" s="11"/>
      <c r="I632" s="12"/>
      <c r="J632" s="12"/>
      <c r="K632" s="12"/>
    </row>
    <row r="633">
      <c r="G633" s="11"/>
      <c r="H633" s="11"/>
      <c r="I633" s="12"/>
      <c r="J633" s="12"/>
      <c r="K633" s="12"/>
    </row>
    <row r="634">
      <c r="G634" s="11"/>
      <c r="H634" s="11"/>
      <c r="I634" s="12"/>
      <c r="J634" s="12"/>
      <c r="K634" s="12"/>
    </row>
    <row r="635">
      <c r="G635" s="11"/>
      <c r="H635" s="11"/>
      <c r="I635" s="12"/>
      <c r="J635" s="12"/>
      <c r="K635" s="12"/>
    </row>
    <row r="636">
      <c r="G636" s="11"/>
      <c r="H636" s="11"/>
      <c r="I636" s="12"/>
      <c r="J636" s="12"/>
      <c r="K636" s="12"/>
    </row>
    <row r="637">
      <c r="G637" s="11"/>
      <c r="H637" s="11"/>
      <c r="I637" s="12"/>
      <c r="J637" s="12"/>
      <c r="K637" s="12"/>
    </row>
    <row r="638">
      <c r="G638" s="11"/>
      <c r="H638" s="11"/>
      <c r="I638" s="12"/>
      <c r="J638" s="12"/>
      <c r="K638" s="12"/>
    </row>
    <row r="639">
      <c r="G639" s="11"/>
      <c r="H639" s="11"/>
      <c r="I639" s="12"/>
      <c r="J639" s="12"/>
      <c r="K639" s="12"/>
    </row>
    <row r="640">
      <c r="G640" s="11"/>
      <c r="H640" s="11"/>
      <c r="I640" s="12"/>
      <c r="J640" s="12"/>
      <c r="K640" s="12"/>
    </row>
    <row r="641">
      <c r="G641" s="11"/>
      <c r="H641" s="11"/>
      <c r="I641" s="12"/>
      <c r="J641" s="12"/>
      <c r="K641" s="12"/>
    </row>
    <row r="642">
      <c r="G642" s="11"/>
      <c r="H642" s="11"/>
      <c r="I642" s="12"/>
      <c r="J642" s="12"/>
      <c r="K642" s="12"/>
    </row>
    <row r="643">
      <c r="G643" s="11"/>
      <c r="H643" s="11"/>
      <c r="I643" s="12"/>
      <c r="J643" s="12"/>
      <c r="K643" s="12"/>
    </row>
    <row r="644">
      <c r="G644" s="11"/>
      <c r="H644" s="11"/>
      <c r="I644" s="12"/>
      <c r="J644" s="12"/>
      <c r="K644" s="12"/>
    </row>
    <row r="645">
      <c r="G645" s="11"/>
      <c r="H645" s="11"/>
      <c r="I645" s="12"/>
      <c r="J645" s="12"/>
      <c r="K645" s="12"/>
    </row>
    <row r="646">
      <c r="G646" s="11"/>
      <c r="H646" s="11"/>
      <c r="I646" s="12"/>
      <c r="J646" s="12"/>
      <c r="K646" s="12"/>
    </row>
    <row r="647">
      <c r="G647" s="11"/>
      <c r="H647" s="11"/>
      <c r="I647" s="12"/>
      <c r="J647" s="12"/>
      <c r="K647" s="12"/>
    </row>
    <row r="648">
      <c r="G648" s="11"/>
      <c r="H648" s="11"/>
      <c r="I648" s="12"/>
      <c r="J648" s="12"/>
      <c r="K648" s="12"/>
    </row>
    <row r="649">
      <c r="G649" s="11"/>
      <c r="H649" s="11"/>
      <c r="I649" s="12"/>
      <c r="J649" s="12"/>
      <c r="K649" s="12"/>
    </row>
    <row r="650">
      <c r="G650" s="11"/>
      <c r="H650" s="11"/>
      <c r="I650" s="12"/>
      <c r="J650" s="12"/>
      <c r="K650" s="12"/>
    </row>
    <row r="651">
      <c r="G651" s="11"/>
      <c r="H651" s="11"/>
      <c r="I651" s="12"/>
      <c r="J651" s="12"/>
      <c r="K651" s="12"/>
    </row>
    <row r="652">
      <c r="G652" s="11"/>
      <c r="H652" s="11"/>
      <c r="I652" s="12"/>
      <c r="J652" s="12"/>
      <c r="K652" s="12"/>
    </row>
    <row r="653">
      <c r="G653" s="11"/>
      <c r="H653" s="11"/>
      <c r="I653" s="12"/>
      <c r="J653" s="12"/>
      <c r="K653" s="12"/>
    </row>
    <row r="654">
      <c r="G654" s="11"/>
      <c r="H654" s="11"/>
      <c r="I654" s="12"/>
      <c r="J654" s="12"/>
      <c r="K654" s="12"/>
    </row>
    <row r="655">
      <c r="G655" s="11"/>
      <c r="H655" s="11"/>
      <c r="I655" s="12"/>
      <c r="J655" s="12"/>
      <c r="K655" s="12"/>
    </row>
    <row r="656">
      <c r="G656" s="11"/>
      <c r="H656" s="11"/>
      <c r="I656" s="12"/>
      <c r="J656" s="12"/>
      <c r="K656" s="12"/>
    </row>
    <row r="657">
      <c r="G657" s="11"/>
      <c r="H657" s="11"/>
      <c r="I657" s="12"/>
      <c r="J657" s="12"/>
      <c r="K657" s="12"/>
    </row>
    <row r="658">
      <c r="G658" s="11"/>
      <c r="H658" s="11"/>
      <c r="I658" s="12"/>
      <c r="J658" s="12"/>
      <c r="K658" s="12"/>
    </row>
    <row r="659">
      <c r="G659" s="11"/>
      <c r="H659" s="11"/>
      <c r="I659" s="12"/>
      <c r="J659" s="12"/>
      <c r="K659" s="12"/>
    </row>
    <row r="660">
      <c r="G660" s="11"/>
      <c r="H660" s="11"/>
      <c r="I660" s="12"/>
      <c r="J660" s="12"/>
      <c r="K660" s="12"/>
    </row>
    <row r="661">
      <c r="G661" s="11"/>
      <c r="H661" s="11"/>
      <c r="I661" s="12"/>
      <c r="J661" s="12"/>
      <c r="K661" s="12"/>
    </row>
    <row r="662">
      <c r="G662" s="11"/>
      <c r="H662" s="11"/>
      <c r="I662" s="12"/>
      <c r="J662" s="12"/>
      <c r="K662" s="12"/>
    </row>
    <row r="663">
      <c r="G663" s="11"/>
      <c r="H663" s="11"/>
      <c r="I663" s="12"/>
      <c r="J663" s="12"/>
      <c r="K663" s="12"/>
    </row>
    <row r="664">
      <c r="G664" s="11"/>
      <c r="H664" s="11"/>
      <c r="I664" s="12"/>
      <c r="J664" s="12"/>
      <c r="K664" s="12"/>
    </row>
    <row r="665">
      <c r="G665" s="11"/>
      <c r="H665" s="11"/>
      <c r="I665" s="12"/>
      <c r="J665" s="12"/>
      <c r="K665" s="12"/>
    </row>
    <row r="666">
      <c r="G666" s="11"/>
      <c r="H666" s="11"/>
      <c r="I666" s="12"/>
      <c r="J666" s="12"/>
      <c r="K666" s="12"/>
    </row>
    <row r="667">
      <c r="G667" s="11"/>
      <c r="H667" s="11"/>
      <c r="I667" s="12"/>
      <c r="J667" s="12"/>
      <c r="K667" s="12"/>
    </row>
    <row r="668">
      <c r="G668" s="11"/>
      <c r="H668" s="11"/>
      <c r="I668" s="12"/>
      <c r="J668" s="12"/>
      <c r="K668" s="12"/>
    </row>
    <row r="669">
      <c r="G669" s="11"/>
      <c r="H669" s="11"/>
      <c r="I669" s="12"/>
      <c r="J669" s="12"/>
      <c r="K669" s="12"/>
    </row>
    <row r="670">
      <c r="G670" s="11"/>
      <c r="H670" s="11"/>
      <c r="I670" s="12"/>
      <c r="J670" s="12"/>
      <c r="K670" s="12"/>
    </row>
    <row r="671">
      <c r="G671" s="11"/>
      <c r="H671" s="11"/>
      <c r="I671" s="12"/>
      <c r="J671" s="12"/>
      <c r="K671" s="12"/>
    </row>
    <row r="672">
      <c r="G672" s="11"/>
      <c r="H672" s="11"/>
      <c r="I672" s="12"/>
      <c r="J672" s="12"/>
      <c r="K672" s="12"/>
    </row>
    <row r="673">
      <c r="G673" s="11"/>
      <c r="H673" s="11"/>
      <c r="I673" s="12"/>
      <c r="J673" s="12"/>
      <c r="K673" s="12"/>
    </row>
    <row r="674">
      <c r="G674" s="11"/>
      <c r="H674" s="11"/>
      <c r="I674" s="12"/>
      <c r="J674" s="12"/>
      <c r="K674" s="12"/>
    </row>
    <row r="675">
      <c r="G675" s="11"/>
      <c r="H675" s="11"/>
      <c r="I675" s="12"/>
      <c r="J675" s="12"/>
      <c r="K675" s="12"/>
    </row>
    <row r="676">
      <c r="G676" s="11"/>
      <c r="H676" s="11"/>
      <c r="I676" s="12"/>
      <c r="J676" s="12"/>
      <c r="K676" s="12"/>
    </row>
    <row r="677">
      <c r="G677" s="11"/>
      <c r="H677" s="11"/>
      <c r="I677" s="12"/>
      <c r="J677" s="12"/>
      <c r="K677" s="12"/>
    </row>
    <row r="678">
      <c r="G678" s="11"/>
      <c r="H678" s="11"/>
      <c r="I678" s="12"/>
      <c r="J678" s="12"/>
      <c r="K678" s="12"/>
    </row>
    <row r="679">
      <c r="G679" s="11"/>
      <c r="H679" s="11"/>
      <c r="I679" s="12"/>
      <c r="J679" s="12"/>
      <c r="K679" s="12"/>
    </row>
    <row r="680">
      <c r="G680" s="11"/>
      <c r="H680" s="11"/>
      <c r="I680" s="12"/>
      <c r="J680" s="12"/>
      <c r="K680" s="12"/>
    </row>
    <row r="681">
      <c r="G681" s="11"/>
      <c r="H681" s="11"/>
      <c r="I681" s="12"/>
      <c r="J681" s="12"/>
      <c r="K681" s="12"/>
    </row>
    <row r="682">
      <c r="G682" s="11"/>
      <c r="H682" s="11"/>
      <c r="I682" s="12"/>
      <c r="J682" s="12"/>
      <c r="K682" s="12"/>
    </row>
    <row r="683">
      <c r="G683" s="11"/>
      <c r="H683" s="11"/>
      <c r="I683" s="12"/>
      <c r="J683" s="12"/>
      <c r="K683" s="12"/>
    </row>
    <row r="684">
      <c r="G684" s="11"/>
      <c r="H684" s="11"/>
      <c r="I684" s="12"/>
      <c r="J684" s="12"/>
      <c r="K684" s="12"/>
    </row>
    <row r="685">
      <c r="G685" s="11"/>
      <c r="H685" s="11"/>
      <c r="I685" s="12"/>
      <c r="J685" s="12"/>
      <c r="K685" s="12"/>
    </row>
    <row r="686">
      <c r="G686" s="11"/>
      <c r="H686" s="11"/>
      <c r="I686" s="12"/>
      <c r="J686" s="12"/>
      <c r="K686" s="12"/>
    </row>
    <row r="687">
      <c r="G687" s="11"/>
      <c r="H687" s="11"/>
      <c r="I687" s="12"/>
      <c r="J687" s="12"/>
      <c r="K687" s="12"/>
    </row>
    <row r="688">
      <c r="G688" s="11"/>
      <c r="H688" s="11"/>
      <c r="I688" s="12"/>
      <c r="J688" s="12"/>
      <c r="K688" s="12"/>
    </row>
    <row r="689">
      <c r="G689" s="11"/>
      <c r="H689" s="11"/>
      <c r="I689" s="12"/>
      <c r="J689" s="12"/>
      <c r="K689" s="12"/>
    </row>
    <row r="690">
      <c r="G690" s="11"/>
      <c r="H690" s="11"/>
      <c r="I690" s="12"/>
      <c r="J690" s="12"/>
      <c r="K690" s="12"/>
    </row>
    <row r="691">
      <c r="G691" s="11"/>
      <c r="H691" s="11"/>
      <c r="I691" s="12"/>
      <c r="J691" s="12"/>
      <c r="K691" s="12"/>
    </row>
    <row r="692">
      <c r="G692" s="11"/>
      <c r="H692" s="11"/>
      <c r="I692" s="12"/>
      <c r="J692" s="12"/>
      <c r="K692" s="12"/>
    </row>
    <row r="693">
      <c r="G693" s="11"/>
      <c r="H693" s="11"/>
      <c r="I693" s="12"/>
      <c r="J693" s="12"/>
      <c r="K693" s="12"/>
    </row>
    <row r="694">
      <c r="G694" s="11"/>
      <c r="H694" s="11"/>
      <c r="I694" s="12"/>
      <c r="J694" s="12"/>
      <c r="K694" s="12"/>
    </row>
    <row r="695">
      <c r="G695" s="11"/>
      <c r="H695" s="11"/>
      <c r="I695" s="12"/>
      <c r="J695" s="12"/>
      <c r="K695" s="12"/>
    </row>
    <row r="696">
      <c r="G696" s="11"/>
      <c r="H696" s="11"/>
      <c r="I696" s="12"/>
      <c r="J696" s="12"/>
      <c r="K696" s="12"/>
    </row>
    <row r="697">
      <c r="G697" s="11"/>
      <c r="H697" s="11"/>
      <c r="I697" s="12"/>
      <c r="J697" s="12"/>
      <c r="K697" s="12"/>
    </row>
    <row r="698">
      <c r="G698" s="11"/>
      <c r="H698" s="11"/>
      <c r="I698" s="12"/>
      <c r="J698" s="12"/>
      <c r="K698" s="12"/>
    </row>
    <row r="699">
      <c r="G699" s="11"/>
      <c r="H699" s="11"/>
      <c r="I699" s="12"/>
      <c r="J699" s="12"/>
      <c r="K699" s="12"/>
    </row>
    <row r="700">
      <c r="G700" s="11"/>
      <c r="H700" s="11"/>
      <c r="I700" s="12"/>
      <c r="J700" s="12"/>
      <c r="K700" s="12"/>
    </row>
    <row r="701">
      <c r="G701" s="11"/>
      <c r="H701" s="11"/>
      <c r="I701" s="12"/>
      <c r="J701" s="12"/>
      <c r="K701" s="12"/>
    </row>
    <row r="702">
      <c r="G702" s="11"/>
      <c r="H702" s="11"/>
      <c r="I702" s="12"/>
      <c r="J702" s="12"/>
      <c r="K702" s="12"/>
    </row>
    <row r="703">
      <c r="G703" s="11"/>
      <c r="H703" s="11"/>
      <c r="I703" s="12"/>
      <c r="J703" s="12"/>
      <c r="K703" s="12"/>
    </row>
    <row r="704">
      <c r="G704" s="11"/>
      <c r="H704" s="11"/>
      <c r="I704" s="12"/>
      <c r="J704" s="12"/>
      <c r="K704" s="12"/>
    </row>
    <row r="705">
      <c r="G705" s="11"/>
      <c r="H705" s="11"/>
      <c r="I705" s="12"/>
      <c r="J705" s="12"/>
      <c r="K705" s="12"/>
    </row>
    <row r="706">
      <c r="G706" s="11"/>
      <c r="H706" s="11"/>
      <c r="I706" s="12"/>
      <c r="J706" s="12"/>
      <c r="K706" s="12"/>
    </row>
    <row r="707">
      <c r="G707" s="11"/>
      <c r="H707" s="11"/>
      <c r="I707" s="12"/>
      <c r="J707" s="12"/>
      <c r="K707" s="12"/>
    </row>
    <row r="708">
      <c r="G708" s="11"/>
      <c r="H708" s="11"/>
      <c r="I708" s="12"/>
      <c r="J708" s="12"/>
      <c r="K708" s="12"/>
    </row>
    <row r="709">
      <c r="G709" s="11"/>
      <c r="H709" s="11"/>
      <c r="I709" s="12"/>
      <c r="J709" s="12"/>
      <c r="K709" s="12"/>
    </row>
    <row r="710">
      <c r="G710" s="11"/>
      <c r="H710" s="11"/>
      <c r="I710" s="12"/>
      <c r="J710" s="12"/>
      <c r="K710" s="12"/>
    </row>
    <row r="711">
      <c r="G711" s="11"/>
      <c r="H711" s="11"/>
      <c r="I711" s="12"/>
      <c r="J711" s="12"/>
      <c r="K711" s="12"/>
    </row>
    <row r="712">
      <c r="G712" s="11"/>
      <c r="H712" s="11"/>
      <c r="I712" s="12"/>
      <c r="J712" s="12"/>
      <c r="K712" s="12"/>
    </row>
    <row r="713">
      <c r="G713" s="11"/>
      <c r="H713" s="11"/>
      <c r="I713" s="12"/>
      <c r="J713" s="12"/>
      <c r="K713" s="12"/>
    </row>
    <row r="714">
      <c r="G714" s="11"/>
      <c r="H714" s="11"/>
      <c r="I714" s="12"/>
      <c r="J714" s="12"/>
      <c r="K714" s="12"/>
    </row>
    <row r="715">
      <c r="G715" s="11"/>
      <c r="H715" s="11"/>
      <c r="I715" s="12"/>
      <c r="J715" s="12"/>
      <c r="K715" s="12"/>
    </row>
    <row r="716">
      <c r="G716" s="11"/>
      <c r="H716" s="11"/>
      <c r="I716" s="12"/>
      <c r="J716" s="12"/>
      <c r="K716" s="12"/>
    </row>
    <row r="717">
      <c r="G717" s="11"/>
      <c r="H717" s="11"/>
      <c r="I717" s="12"/>
      <c r="J717" s="12"/>
      <c r="K717" s="12"/>
    </row>
    <row r="718">
      <c r="G718" s="11"/>
      <c r="H718" s="11"/>
      <c r="I718" s="12"/>
      <c r="J718" s="12"/>
      <c r="K718" s="12"/>
    </row>
    <row r="719">
      <c r="G719" s="11"/>
      <c r="H719" s="11"/>
      <c r="I719" s="12"/>
      <c r="J719" s="12"/>
      <c r="K719" s="12"/>
    </row>
    <row r="720">
      <c r="G720" s="11"/>
      <c r="H720" s="11"/>
      <c r="I720" s="12"/>
      <c r="J720" s="12"/>
      <c r="K720" s="12"/>
    </row>
    <row r="721">
      <c r="G721" s="11"/>
      <c r="H721" s="11"/>
      <c r="I721" s="12"/>
      <c r="J721" s="12"/>
      <c r="K721" s="12"/>
    </row>
    <row r="722">
      <c r="G722" s="11"/>
      <c r="H722" s="11"/>
      <c r="I722" s="12"/>
      <c r="J722" s="12"/>
      <c r="K722" s="12"/>
    </row>
    <row r="723">
      <c r="G723" s="11"/>
      <c r="H723" s="11"/>
      <c r="I723" s="12"/>
      <c r="J723" s="12"/>
      <c r="K723" s="12"/>
    </row>
    <row r="724">
      <c r="G724" s="11"/>
      <c r="H724" s="11"/>
      <c r="I724" s="12"/>
      <c r="J724" s="12"/>
      <c r="K724" s="12"/>
    </row>
    <row r="725">
      <c r="G725" s="11"/>
      <c r="H725" s="11"/>
      <c r="I725" s="12"/>
      <c r="J725" s="12"/>
      <c r="K725" s="12"/>
    </row>
    <row r="726">
      <c r="G726" s="11"/>
      <c r="H726" s="11"/>
      <c r="I726" s="12"/>
      <c r="J726" s="12"/>
      <c r="K726" s="12"/>
    </row>
    <row r="727">
      <c r="G727" s="11"/>
      <c r="H727" s="11"/>
      <c r="I727" s="12"/>
      <c r="J727" s="12"/>
      <c r="K727" s="12"/>
    </row>
    <row r="728">
      <c r="G728" s="11"/>
      <c r="H728" s="11"/>
      <c r="I728" s="12"/>
      <c r="J728" s="12"/>
      <c r="K728" s="12"/>
    </row>
    <row r="729">
      <c r="G729" s="11"/>
      <c r="H729" s="11"/>
      <c r="I729" s="12"/>
      <c r="J729" s="12"/>
      <c r="K729" s="12"/>
    </row>
    <row r="730">
      <c r="G730" s="11"/>
      <c r="H730" s="11"/>
      <c r="I730" s="12"/>
      <c r="J730" s="12"/>
      <c r="K730" s="12"/>
    </row>
    <row r="731">
      <c r="G731" s="11"/>
      <c r="H731" s="11"/>
      <c r="I731" s="12"/>
      <c r="J731" s="12"/>
      <c r="K731" s="12"/>
    </row>
    <row r="732">
      <c r="G732" s="11"/>
      <c r="H732" s="11"/>
      <c r="I732" s="12"/>
      <c r="J732" s="12"/>
      <c r="K732" s="12"/>
    </row>
    <row r="733">
      <c r="G733" s="11"/>
      <c r="H733" s="11"/>
      <c r="I733" s="12"/>
      <c r="J733" s="12"/>
      <c r="K733" s="12"/>
    </row>
    <row r="734">
      <c r="G734" s="11"/>
      <c r="H734" s="11"/>
      <c r="I734" s="12"/>
      <c r="J734" s="12"/>
      <c r="K734" s="12"/>
    </row>
    <row r="735">
      <c r="G735" s="11"/>
      <c r="H735" s="11"/>
      <c r="I735" s="12"/>
      <c r="J735" s="12"/>
      <c r="K735" s="12"/>
    </row>
    <row r="736">
      <c r="G736" s="11"/>
      <c r="H736" s="11"/>
      <c r="I736" s="12"/>
      <c r="J736" s="12"/>
      <c r="K736" s="12"/>
    </row>
    <row r="737">
      <c r="G737" s="11"/>
      <c r="H737" s="11"/>
      <c r="I737" s="12"/>
      <c r="J737" s="12"/>
      <c r="K737" s="12"/>
    </row>
    <row r="738">
      <c r="G738" s="11"/>
      <c r="H738" s="11"/>
      <c r="I738" s="12"/>
      <c r="J738" s="12"/>
      <c r="K738" s="12"/>
    </row>
    <row r="739">
      <c r="G739" s="11"/>
      <c r="H739" s="11"/>
      <c r="I739" s="12"/>
      <c r="J739" s="12"/>
      <c r="K739" s="12"/>
    </row>
    <row r="740">
      <c r="G740" s="11"/>
      <c r="H740" s="11"/>
      <c r="I740" s="12"/>
      <c r="J740" s="12"/>
      <c r="K740" s="12"/>
    </row>
    <row r="741">
      <c r="G741" s="11"/>
      <c r="H741" s="11"/>
      <c r="I741" s="12"/>
      <c r="J741" s="12"/>
      <c r="K741" s="12"/>
    </row>
    <row r="742">
      <c r="G742" s="11"/>
      <c r="H742" s="11"/>
      <c r="I742" s="12"/>
      <c r="J742" s="12"/>
      <c r="K742" s="12"/>
    </row>
    <row r="743">
      <c r="G743" s="11"/>
      <c r="H743" s="11"/>
      <c r="I743" s="12"/>
      <c r="J743" s="12"/>
      <c r="K743" s="12"/>
    </row>
    <row r="744">
      <c r="G744" s="11"/>
      <c r="H744" s="11"/>
      <c r="I744" s="12"/>
      <c r="J744" s="12"/>
      <c r="K744" s="12"/>
    </row>
    <row r="745">
      <c r="G745" s="11"/>
      <c r="H745" s="11"/>
      <c r="I745" s="12"/>
      <c r="J745" s="12"/>
      <c r="K745" s="12"/>
    </row>
    <row r="746">
      <c r="G746" s="11"/>
      <c r="H746" s="11"/>
      <c r="I746" s="12"/>
      <c r="J746" s="12"/>
      <c r="K746" s="12"/>
    </row>
    <row r="747">
      <c r="G747" s="11"/>
      <c r="H747" s="11"/>
      <c r="I747" s="12"/>
      <c r="J747" s="12"/>
      <c r="K747" s="12"/>
    </row>
    <row r="748">
      <c r="G748" s="11"/>
      <c r="H748" s="11"/>
      <c r="I748" s="12"/>
      <c r="J748" s="12"/>
      <c r="K748" s="12"/>
    </row>
    <row r="749">
      <c r="G749" s="11"/>
      <c r="H749" s="11"/>
      <c r="I749" s="12"/>
      <c r="J749" s="12"/>
      <c r="K749" s="12"/>
    </row>
    <row r="750">
      <c r="G750" s="11"/>
      <c r="H750" s="11"/>
      <c r="I750" s="12"/>
      <c r="J750" s="12"/>
      <c r="K750" s="12"/>
    </row>
    <row r="751">
      <c r="G751" s="11"/>
      <c r="H751" s="11"/>
      <c r="I751" s="12"/>
      <c r="J751" s="12"/>
      <c r="K751" s="12"/>
    </row>
    <row r="752">
      <c r="G752" s="11"/>
      <c r="H752" s="11"/>
      <c r="I752" s="12"/>
      <c r="J752" s="12"/>
      <c r="K752" s="12"/>
    </row>
    <row r="753">
      <c r="G753" s="11"/>
      <c r="H753" s="11"/>
      <c r="I753" s="12"/>
      <c r="J753" s="12"/>
      <c r="K753" s="12"/>
    </row>
    <row r="754">
      <c r="G754" s="11"/>
      <c r="H754" s="11"/>
      <c r="I754" s="12"/>
      <c r="J754" s="12"/>
      <c r="K754" s="12"/>
    </row>
    <row r="755">
      <c r="G755" s="11"/>
      <c r="H755" s="11"/>
      <c r="I755" s="12"/>
      <c r="J755" s="12"/>
      <c r="K755" s="12"/>
    </row>
    <row r="756">
      <c r="G756" s="11"/>
      <c r="H756" s="11"/>
      <c r="I756" s="12"/>
      <c r="J756" s="12"/>
      <c r="K756" s="12"/>
    </row>
    <row r="757">
      <c r="G757" s="11"/>
      <c r="H757" s="11"/>
      <c r="I757" s="12"/>
      <c r="J757" s="12"/>
      <c r="K757" s="12"/>
    </row>
    <row r="758">
      <c r="G758" s="11"/>
      <c r="H758" s="11"/>
      <c r="I758" s="12"/>
      <c r="J758" s="12"/>
      <c r="K758" s="12"/>
    </row>
    <row r="759">
      <c r="G759" s="11"/>
      <c r="H759" s="11"/>
      <c r="I759" s="12"/>
      <c r="J759" s="12"/>
      <c r="K759" s="12"/>
    </row>
    <row r="760">
      <c r="G760" s="11"/>
      <c r="H760" s="11"/>
      <c r="I760" s="12"/>
      <c r="J760" s="12"/>
      <c r="K760" s="12"/>
    </row>
    <row r="761">
      <c r="G761" s="11"/>
      <c r="H761" s="11"/>
      <c r="I761" s="12"/>
      <c r="J761" s="12"/>
      <c r="K761" s="12"/>
    </row>
    <row r="762">
      <c r="G762" s="11"/>
      <c r="H762" s="11"/>
      <c r="I762" s="12"/>
      <c r="J762" s="12"/>
      <c r="K762" s="12"/>
    </row>
    <row r="763">
      <c r="G763" s="11"/>
      <c r="H763" s="11"/>
      <c r="I763" s="12"/>
      <c r="J763" s="12"/>
      <c r="K763" s="12"/>
    </row>
    <row r="764">
      <c r="G764" s="11"/>
      <c r="H764" s="11"/>
      <c r="I764" s="12"/>
      <c r="J764" s="12"/>
      <c r="K764" s="12"/>
    </row>
    <row r="765">
      <c r="G765" s="11"/>
      <c r="H765" s="11"/>
      <c r="I765" s="12"/>
      <c r="J765" s="12"/>
      <c r="K765" s="12"/>
    </row>
    <row r="766">
      <c r="G766" s="11"/>
      <c r="H766" s="11"/>
      <c r="I766" s="12"/>
      <c r="J766" s="12"/>
      <c r="K766" s="12"/>
    </row>
    <row r="767">
      <c r="G767" s="11"/>
      <c r="H767" s="11"/>
      <c r="I767" s="12"/>
      <c r="J767" s="12"/>
      <c r="K767" s="12"/>
    </row>
    <row r="768">
      <c r="G768" s="11"/>
      <c r="H768" s="11"/>
      <c r="I768" s="12"/>
      <c r="J768" s="12"/>
      <c r="K768" s="12"/>
    </row>
    <row r="769">
      <c r="G769" s="11"/>
      <c r="H769" s="11"/>
      <c r="I769" s="12"/>
      <c r="J769" s="12"/>
      <c r="K769" s="12"/>
    </row>
    <row r="770">
      <c r="G770" s="11"/>
      <c r="H770" s="11"/>
      <c r="I770" s="12"/>
      <c r="J770" s="12"/>
      <c r="K770" s="12"/>
    </row>
    <row r="771">
      <c r="G771" s="11"/>
      <c r="H771" s="11"/>
      <c r="I771" s="12"/>
      <c r="J771" s="12"/>
      <c r="K771" s="12"/>
    </row>
    <row r="772">
      <c r="G772" s="11"/>
      <c r="H772" s="11"/>
      <c r="I772" s="12"/>
      <c r="J772" s="12"/>
      <c r="K772" s="12"/>
    </row>
    <row r="773">
      <c r="G773" s="11"/>
      <c r="H773" s="11"/>
      <c r="I773" s="12"/>
      <c r="J773" s="12"/>
      <c r="K773" s="12"/>
    </row>
    <row r="774">
      <c r="G774" s="11"/>
      <c r="H774" s="11"/>
      <c r="I774" s="12"/>
      <c r="J774" s="12"/>
      <c r="K774" s="12"/>
    </row>
    <row r="775">
      <c r="G775" s="11"/>
      <c r="H775" s="11"/>
      <c r="I775" s="12"/>
      <c r="J775" s="12"/>
      <c r="K775" s="12"/>
    </row>
    <row r="776">
      <c r="G776" s="11"/>
      <c r="H776" s="11"/>
      <c r="I776" s="12"/>
      <c r="J776" s="12"/>
      <c r="K776" s="12"/>
    </row>
    <row r="777">
      <c r="G777" s="11"/>
      <c r="H777" s="11"/>
      <c r="I777" s="12"/>
      <c r="J777" s="12"/>
      <c r="K777" s="12"/>
    </row>
    <row r="778">
      <c r="G778" s="11"/>
      <c r="H778" s="11"/>
      <c r="I778" s="12"/>
      <c r="J778" s="12"/>
      <c r="K778" s="12"/>
    </row>
    <row r="779">
      <c r="G779" s="11"/>
      <c r="H779" s="11"/>
      <c r="I779" s="12"/>
      <c r="J779" s="12"/>
      <c r="K779" s="12"/>
    </row>
    <row r="780">
      <c r="G780" s="11"/>
      <c r="H780" s="11"/>
      <c r="I780" s="12"/>
      <c r="J780" s="12"/>
      <c r="K780" s="12"/>
    </row>
    <row r="781">
      <c r="G781" s="11"/>
      <c r="H781" s="11"/>
      <c r="I781" s="12"/>
      <c r="J781" s="12"/>
      <c r="K781" s="12"/>
    </row>
    <row r="782">
      <c r="G782" s="11"/>
      <c r="H782" s="11"/>
      <c r="I782" s="12"/>
      <c r="J782" s="12"/>
      <c r="K782" s="12"/>
    </row>
    <row r="783">
      <c r="G783" s="11"/>
      <c r="H783" s="11"/>
      <c r="I783" s="12"/>
      <c r="J783" s="12"/>
      <c r="K783" s="12"/>
    </row>
    <row r="784">
      <c r="G784" s="11"/>
      <c r="H784" s="11"/>
      <c r="I784" s="12"/>
      <c r="J784" s="12"/>
      <c r="K784" s="12"/>
    </row>
    <row r="785">
      <c r="G785" s="11"/>
      <c r="H785" s="11"/>
      <c r="I785" s="12"/>
      <c r="J785" s="12"/>
      <c r="K785" s="12"/>
    </row>
    <row r="786">
      <c r="G786" s="11"/>
      <c r="H786" s="11"/>
      <c r="I786" s="12"/>
      <c r="J786" s="12"/>
      <c r="K786" s="12"/>
    </row>
    <row r="787">
      <c r="G787" s="11"/>
      <c r="H787" s="11"/>
      <c r="I787" s="12"/>
      <c r="J787" s="12"/>
      <c r="K787" s="12"/>
    </row>
    <row r="788">
      <c r="G788" s="11"/>
      <c r="H788" s="11"/>
      <c r="I788" s="12"/>
      <c r="J788" s="12"/>
      <c r="K788" s="12"/>
    </row>
    <row r="789">
      <c r="G789" s="11"/>
      <c r="H789" s="11"/>
      <c r="I789" s="12"/>
      <c r="J789" s="12"/>
      <c r="K789" s="12"/>
    </row>
    <row r="790">
      <c r="G790" s="11"/>
      <c r="H790" s="11"/>
      <c r="I790" s="12"/>
      <c r="J790" s="12"/>
      <c r="K790" s="12"/>
    </row>
    <row r="791">
      <c r="G791" s="11"/>
      <c r="H791" s="11"/>
      <c r="I791" s="12"/>
      <c r="J791" s="12"/>
      <c r="K791" s="12"/>
    </row>
    <row r="792">
      <c r="G792" s="11"/>
      <c r="H792" s="11"/>
      <c r="I792" s="12"/>
      <c r="J792" s="12"/>
      <c r="K792" s="12"/>
    </row>
    <row r="793">
      <c r="G793" s="11"/>
      <c r="H793" s="11"/>
      <c r="I793" s="12"/>
      <c r="J793" s="12"/>
      <c r="K793" s="12"/>
    </row>
    <row r="794">
      <c r="G794" s="11"/>
      <c r="H794" s="11"/>
      <c r="I794" s="12"/>
      <c r="J794" s="12"/>
      <c r="K794" s="12"/>
    </row>
    <row r="795">
      <c r="G795" s="11"/>
      <c r="H795" s="11"/>
      <c r="I795" s="12"/>
      <c r="J795" s="12"/>
      <c r="K795" s="12"/>
    </row>
    <row r="796">
      <c r="G796" s="11"/>
      <c r="H796" s="11"/>
      <c r="I796" s="12"/>
      <c r="J796" s="12"/>
      <c r="K796" s="12"/>
    </row>
    <row r="797">
      <c r="G797" s="11"/>
      <c r="H797" s="11"/>
      <c r="I797" s="12"/>
      <c r="J797" s="12"/>
      <c r="K797" s="12"/>
    </row>
    <row r="798">
      <c r="G798" s="11"/>
      <c r="H798" s="11"/>
      <c r="I798" s="12"/>
      <c r="J798" s="12"/>
      <c r="K798" s="12"/>
    </row>
    <row r="799">
      <c r="G799" s="11"/>
      <c r="H799" s="11"/>
      <c r="I799" s="12"/>
      <c r="J799" s="12"/>
      <c r="K799" s="12"/>
    </row>
    <row r="800">
      <c r="G800" s="11"/>
      <c r="H800" s="11"/>
      <c r="I800" s="12"/>
      <c r="J800" s="12"/>
      <c r="K800" s="12"/>
    </row>
    <row r="801">
      <c r="G801" s="11"/>
      <c r="H801" s="11"/>
      <c r="I801" s="12"/>
      <c r="J801" s="12"/>
      <c r="K801" s="12"/>
    </row>
    <row r="802">
      <c r="G802" s="11"/>
      <c r="H802" s="11"/>
      <c r="I802" s="12"/>
      <c r="J802" s="12"/>
      <c r="K802" s="12"/>
    </row>
    <row r="803">
      <c r="G803" s="11"/>
      <c r="H803" s="11"/>
      <c r="I803" s="12"/>
      <c r="J803" s="12"/>
      <c r="K803" s="12"/>
    </row>
    <row r="804">
      <c r="G804" s="11"/>
      <c r="H804" s="11"/>
      <c r="I804" s="12"/>
      <c r="J804" s="12"/>
      <c r="K804" s="12"/>
    </row>
    <row r="805">
      <c r="G805" s="11"/>
      <c r="H805" s="11"/>
      <c r="I805" s="12"/>
      <c r="J805" s="12"/>
      <c r="K805" s="12"/>
    </row>
    <row r="806">
      <c r="G806" s="11"/>
      <c r="H806" s="11"/>
      <c r="I806" s="12"/>
      <c r="J806" s="12"/>
      <c r="K806" s="12"/>
    </row>
    <row r="807">
      <c r="G807" s="11"/>
      <c r="H807" s="11"/>
      <c r="I807" s="12"/>
      <c r="J807" s="12"/>
      <c r="K807" s="12"/>
    </row>
    <row r="808">
      <c r="G808" s="11"/>
      <c r="H808" s="11"/>
      <c r="I808" s="12"/>
      <c r="J808" s="12"/>
      <c r="K808" s="12"/>
    </row>
    <row r="809">
      <c r="G809" s="11"/>
      <c r="H809" s="11"/>
      <c r="I809" s="12"/>
      <c r="J809" s="12"/>
      <c r="K809" s="12"/>
    </row>
    <row r="810">
      <c r="G810" s="11"/>
      <c r="H810" s="11"/>
      <c r="I810" s="12"/>
      <c r="J810" s="12"/>
      <c r="K810" s="12"/>
    </row>
    <row r="811">
      <c r="G811" s="11"/>
      <c r="H811" s="11"/>
      <c r="I811" s="12"/>
      <c r="J811" s="12"/>
      <c r="K811" s="12"/>
    </row>
    <row r="812">
      <c r="G812" s="11"/>
      <c r="H812" s="11"/>
      <c r="I812" s="12"/>
      <c r="J812" s="12"/>
      <c r="K812" s="12"/>
    </row>
    <row r="813">
      <c r="G813" s="11"/>
      <c r="H813" s="11"/>
      <c r="I813" s="12"/>
      <c r="J813" s="12"/>
      <c r="K813" s="12"/>
    </row>
    <row r="814">
      <c r="G814" s="11"/>
      <c r="H814" s="11"/>
      <c r="I814" s="12"/>
      <c r="J814" s="12"/>
      <c r="K814" s="12"/>
    </row>
    <row r="815">
      <c r="G815" s="11"/>
      <c r="H815" s="11"/>
      <c r="I815" s="12"/>
      <c r="J815" s="12"/>
      <c r="K815" s="12"/>
    </row>
    <row r="816">
      <c r="G816" s="11"/>
      <c r="H816" s="11"/>
      <c r="I816" s="12"/>
      <c r="J816" s="12"/>
      <c r="K816" s="12"/>
    </row>
    <row r="817">
      <c r="G817" s="11"/>
      <c r="H817" s="11"/>
      <c r="I817" s="12"/>
      <c r="J817" s="12"/>
      <c r="K817" s="12"/>
    </row>
    <row r="818">
      <c r="G818" s="11"/>
      <c r="H818" s="11"/>
      <c r="I818" s="12"/>
      <c r="J818" s="12"/>
      <c r="K818" s="12"/>
    </row>
    <row r="819">
      <c r="G819" s="11"/>
      <c r="H819" s="11"/>
      <c r="I819" s="12"/>
      <c r="J819" s="12"/>
      <c r="K819" s="12"/>
    </row>
    <row r="820">
      <c r="G820" s="11"/>
      <c r="H820" s="11"/>
      <c r="I820" s="12"/>
      <c r="J820" s="12"/>
      <c r="K820" s="12"/>
    </row>
    <row r="821">
      <c r="G821" s="11"/>
      <c r="H821" s="11"/>
      <c r="I821" s="12"/>
      <c r="J821" s="12"/>
      <c r="K821" s="12"/>
    </row>
    <row r="822">
      <c r="G822" s="11"/>
      <c r="H822" s="11"/>
      <c r="I822" s="12"/>
      <c r="J822" s="12"/>
      <c r="K822" s="12"/>
    </row>
    <row r="823">
      <c r="G823" s="11"/>
      <c r="H823" s="11"/>
      <c r="I823" s="12"/>
      <c r="J823" s="12"/>
      <c r="K823" s="12"/>
    </row>
    <row r="824">
      <c r="G824" s="11"/>
      <c r="H824" s="11"/>
      <c r="I824" s="12"/>
      <c r="J824" s="12"/>
      <c r="K824" s="12"/>
    </row>
    <row r="825">
      <c r="G825" s="11"/>
      <c r="H825" s="11"/>
      <c r="I825" s="12"/>
      <c r="J825" s="12"/>
      <c r="K825" s="12"/>
    </row>
    <row r="826">
      <c r="G826" s="11"/>
      <c r="H826" s="11"/>
      <c r="I826" s="12"/>
      <c r="J826" s="12"/>
      <c r="K826" s="12"/>
    </row>
    <row r="827">
      <c r="G827" s="11"/>
      <c r="H827" s="11"/>
      <c r="I827" s="12"/>
      <c r="J827" s="12"/>
      <c r="K827" s="12"/>
    </row>
    <row r="828">
      <c r="G828" s="11"/>
      <c r="H828" s="11"/>
      <c r="I828" s="12"/>
      <c r="J828" s="12"/>
      <c r="K828" s="12"/>
    </row>
    <row r="829">
      <c r="G829" s="11"/>
      <c r="H829" s="11"/>
      <c r="I829" s="12"/>
      <c r="J829" s="12"/>
      <c r="K829" s="12"/>
    </row>
    <row r="830">
      <c r="G830" s="11"/>
      <c r="H830" s="11"/>
      <c r="I830" s="12"/>
      <c r="J830" s="12"/>
      <c r="K830" s="12"/>
    </row>
    <row r="831">
      <c r="G831" s="11"/>
      <c r="H831" s="11"/>
      <c r="I831" s="12"/>
      <c r="J831" s="12"/>
      <c r="K831" s="12"/>
    </row>
    <row r="832">
      <c r="G832" s="11"/>
      <c r="H832" s="11"/>
      <c r="I832" s="12"/>
      <c r="J832" s="12"/>
      <c r="K832" s="12"/>
    </row>
    <row r="833">
      <c r="G833" s="11"/>
      <c r="H833" s="11"/>
      <c r="I833" s="12"/>
      <c r="J833" s="12"/>
      <c r="K833" s="12"/>
    </row>
    <row r="834">
      <c r="G834" s="11"/>
      <c r="H834" s="11"/>
      <c r="I834" s="12"/>
      <c r="J834" s="12"/>
      <c r="K834" s="12"/>
    </row>
    <row r="835">
      <c r="G835" s="11"/>
      <c r="H835" s="11"/>
      <c r="I835" s="12"/>
      <c r="J835" s="12"/>
      <c r="K835" s="12"/>
    </row>
    <row r="836">
      <c r="G836" s="11"/>
      <c r="H836" s="11"/>
      <c r="I836" s="12"/>
      <c r="J836" s="12"/>
      <c r="K836" s="12"/>
    </row>
    <row r="837">
      <c r="G837" s="11"/>
      <c r="H837" s="11"/>
      <c r="I837" s="12"/>
      <c r="J837" s="12"/>
      <c r="K837" s="12"/>
    </row>
    <row r="838">
      <c r="G838" s="11"/>
      <c r="H838" s="11"/>
      <c r="I838" s="12"/>
      <c r="J838" s="12"/>
      <c r="K838" s="12"/>
    </row>
    <row r="839">
      <c r="G839" s="11"/>
      <c r="H839" s="11"/>
      <c r="I839" s="12"/>
      <c r="J839" s="12"/>
      <c r="K839" s="12"/>
    </row>
    <row r="840">
      <c r="G840" s="11"/>
      <c r="H840" s="11"/>
      <c r="I840" s="12"/>
      <c r="J840" s="12"/>
      <c r="K840" s="12"/>
    </row>
    <row r="841">
      <c r="G841" s="11"/>
      <c r="H841" s="11"/>
      <c r="I841" s="12"/>
      <c r="J841" s="12"/>
      <c r="K841" s="12"/>
    </row>
    <row r="842">
      <c r="G842" s="11"/>
      <c r="H842" s="11"/>
      <c r="I842" s="12"/>
      <c r="J842" s="12"/>
      <c r="K842" s="12"/>
    </row>
    <row r="843">
      <c r="G843" s="11"/>
      <c r="H843" s="11"/>
      <c r="I843" s="12"/>
      <c r="J843" s="12"/>
      <c r="K843" s="12"/>
    </row>
    <row r="844">
      <c r="G844" s="11"/>
      <c r="H844" s="11"/>
      <c r="I844" s="12"/>
      <c r="J844" s="12"/>
      <c r="K844" s="12"/>
    </row>
    <row r="845">
      <c r="G845" s="11"/>
      <c r="H845" s="11"/>
      <c r="I845" s="12"/>
      <c r="J845" s="12"/>
      <c r="K845" s="12"/>
    </row>
    <row r="846">
      <c r="G846" s="11"/>
      <c r="H846" s="11"/>
      <c r="I846" s="12"/>
      <c r="J846" s="12"/>
      <c r="K846" s="12"/>
    </row>
    <row r="847">
      <c r="G847" s="11"/>
      <c r="H847" s="11"/>
      <c r="I847" s="12"/>
      <c r="J847" s="12"/>
      <c r="K847" s="12"/>
    </row>
    <row r="848">
      <c r="G848" s="11"/>
      <c r="H848" s="11"/>
      <c r="I848" s="12"/>
      <c r="J848" s="12"/>
      <c r="K848" s="12"/>
    </row>
    <row r="849">
      <c r="G849" s="11"/>
      <c r="H849" s="11"/>
      <c r="I849" s="12"/>
      <c r="J849" s="12"/>
      <c r="K849" s="12"/>
    </row>
    <row r="850">
      <c r="G850" s="11"/>
      <c r="H850" s="11"/>
      <c r="I850" s="12"/>
      <c r="J850" s="12"/>
      <c r="K850" s="12"/>
    </row>
    <row r="851">
      <c r="G851" s="11"/>
      <c r="H851" s="11"/>
      <c r="I851" s="12"/>
      <c r="J851" s="12"/>
      <c r="K851" s="12"/>
    </row>
    <row r="852">
      <c r="G852" s="11"/>
      <c r="H852" s="11"/>
      <c r="I852" s="12"/>
      <c r="J852" s="12"/>
      <c r="K852" s="12"/>
    </row>
    <row r="853">
      <c r="G853" s="11"/>
      <c r="H853" s="11"/>
      <c r="I853" s="12"/>
      <c r="J853" s="12"/>
      <c r="K853" s="12"/>
    </row>
    <row r="854">
      <c r="G854" s="11"/>
      <c r="H854" s="11"/>
      <c r="I854" s="12"/>
      <c r="J854" s="12"/>
      <c r="K854" s="12"/>
    </row>
    <row r="855">
      <c r="G855" s="11"/>
      <c r="H855" s="11"/>
      <c r="I855" s="12"/>
      <c r="J855" s="12"/>
      <c r="K855" s="12"/>
    </row>
    <row r="856">
      <c r="G856" s="11"/>
      <c r="H856" s="11"/>
      <c r="I856" s="12"/>
      <c r="J856" s="12"/>
      <c r="K856" s="12"/>
    </row>
    <row r="857">
      <c r="G857" s="11"/>
      <c r="H857" s="11"/>
      <c r="I857" s="12"/>
      <c r="J857" s="12"/>
      <c r="K857" s="12"/>
    </row>
    <row r="858">
      <c r="G858" s="11"/>
      <c r="H858" s="11"/>
      <c r="I858" s="12"/>
      <c r="J858" s="12"/>
      <c r="K858" s="12"/>
    </row>
    <row r="859">
      <c r="G859" s="11"/>
      <c r="H859" s="11"/>
      <c r="I859" s="12"/>
      <c r="J859" s="12"/>
      <c r="K859" s="12"/>
    </row>
    <row r="860">
      <c r="G860" s="11"/>
      <c r="H860" s="11"/>
      <c r="I860" s="12"/>
      <c r="J860" s="12"/>
      <c r="K860" s="12"/>
    </row>
    <row r="861">
      <c r="G861" s="11"/>
      <c r="H861" s="11"/>
      <c r="I861" s="12"/>
      <c r="J861" s="12"/>
      <c r="K861" s="12"/>
    </row>
    <row r="862">
      <c r="G862" s="11"/>
      <c r="H862" s="11"/>
      <c r="I862" s="12"/>
      <c r="J862" s="12"/>
      <c r="K862" s="12"/>
    </row>
    <row r="863">
      <c r="G863" s="11"/>
      <c r="H863" s="11"/>
      <c r="I863" s="12"/>
      <c r="J863" s="12"/>
      <c r="K863" s="12"/>
    </row>
    <row r="864">
      <c r="G864" s="11"/>
      <c r="H864" s="11"/>
      <c r="I864" s="12"/>
      <c r="J864" s="12"/>
      <c r="K864" s="12"/>
    </row>
    <row r="865">
      <c r="G865" s="11"/>
      <c r="H865" s="11"/>
      <c r="I865" s="12"/>
      <c r="J865" s="12"/>
      <c r="K865" s="12"/>
    </row>
    <row r="866">
      <c r="G866" s="11"/>
      <c r="H866" s="11"/>
      <c r="I866" s="12"/>
      <c r="J866" s="12"/>
      <c r="K866" s="12"/>
    </row>
    <row r="867">
      <c r="G867" s="11"/>
      <c r="H867" s="11"/>
      <c r="I867" s="12"/>
      <c r="J867" s="12"/>
      <c r="K867" s="12"/>
    </row>
    <row r="868">
      <c r="G868" s="11"/>
      <c r="H868" s="11"/>
      <c r="I868" s="12"/>
      <c r="J868" s="12"/>
      <c r="K868" s="12"/>
    </row>
    <row r="869">
      <c r="G869" s="11"/>
      <c r="H869" s="11"/>
      <c r="I869" s="12"/>
      <c r="J869" s="12"/>
      <c r="K869" s="12"/>
    </row>
    <row r="870">
      <c r="G870" s="11"/>
      <c r="H870" s="11"/>
      <c r="I870" s="12"/>
      <c r="J870" s="12"/>
      <c r="K870" s="12"/>
    </row>
    <row r="871">
      <c r="G871" s="11"/>
      <c r="H871" s="11"/>
      <c r="I871" s="12"/>
      <c r="J871" s="12"/>
      <c r="K871" s="12"/>
    </row>
    <row r="872">
      <c r="G872" s="11"/>
      <c r="H872" s="11"/>
      <c r="I872" s="12"/>
      <c r="J872" s="12"/>
      <c r="K872" s="12"/>
    </row>
    <row r="873">
      <c r="G873" s="11"/>
      <c r="H873" s="11"/>
      <c r="I873" s="12"/>
      <c r="J873" s="12"/>
      <c r="K873" s="12"/>
    </row>
    <row r="874">
      <c r="G874" s="11"/>
      <c r="H874" s="11"/>
      <c r="I874" s="12"/>
      <c r="J874" s="12"/>
      <c r="K874" s="12"/>
    </row>
    <row r="875">
      <c r="G875" s="11"/>
      <c r="H875" s="11"/>
      <c r="I875" s="12"/>
      <c r="J875" s="12"/>
      <c r="K875" s="12"/>
    </row>
    <row r="876">
      <c r="G876" s="11"/>
      <c r="H876" s="11"/>
      <c r="I876" s="12"/>
      <c r="J876" s="12"/>
      <c r="K876" s="12"/>
    </row>
    <row r="877">
      <c r="G877" s="11"/>
      <c r="H877" s="11"/>
      <c r="I877" s="12"/>
      <c r="J877" s="12"/>
      <c r="K877" s="12"/>
    </row>
    <row r="878">
      <c r="G878" s="11"/>
      <c r="H878" s="11"/>
      <c r="I878" s="12"/>
      <c r="J878" s="12"/>
      <c r="K878" s="12"/>
    </row>
    <row r="879">
      <c r="G879" s="11"/>
      <c r="H879" s="11"/>
      <c r="I879" s="12"/>
      <c r="J879" s="12"/>
      <c r="K879" s="12"/>
    </row>
    <row r="880">
      <c r="G880" s="11"/>
      <c r="H880" s="11"/>
      <c r="I880" s="12"/>
      <c r="J880" s="12"/>
      <c r="K880" s="12"/>
    </row>
    <row r="881">
      <c r="G881" s="11"/>
      <c r="H881" s="11"/>
      <c r="I881" s="12"/>
      <c r="J881" s="12"/>
      <c r="K881" s="12"/>
    </row>
    <row r="882">
      <c r="G882" s="11"/>
      <c r="H882" s="11"/>
      <c r="I882" s="12"/>
      <c r="J882" s="12"/>
      <c r="K882" s="12"/>
    </row>
    <row r="883">
      <c r="G883" s="11"/>
      <c r="H883" s="11"/>
      <c r="I883" s="12"/>
      <c r="J883" s="12"/>
      <c r="K883" s="12"/>
    </row>
    <row r="884">
      <c r="G884" s="11"/>
      <c r="H884" s="11"/>
      <c r="I884" s="12"/>
      <c r="J884" s="12"/>
      <c r="K884" s="12"/>
    </row>
    <row r="885">
      <c r="G885" s="11"/>
      <c r="H885" s="11"/>
      <c r="I885" s="12"/>
      <c r="J885" s="12"/>
      <c r="K885" s="12"/>
    </row>
    <row r="886">
      <c r="G886" s="11"/>
      <c r="H886" s="11"/>
      <c r="I886" s="12"/>
      <c r="J886" s="12"/>
      <c r="K886" s="12"/>
    </row>
    <row r="887">
      <c r="G887" s="11"/>
      <c r="H887" s="11"/>
      <c r="I887" s="12"/>
      <c r="J887" s="12"/>
      <c r="K887" s="12"/>
    </row>
    <row r="888">
      <c r="G888" s="11"/>
      <c r="H888" s="11"/>
      <c r="I888" s="12"/>
      <c r="J888" s="12"/>
      <c r="K888" s="12"/>
    </row>
    <row r="889">
      <c r="G889" s="11"/>
      <c r="H889" s="11"/>
      <c r="I889" s="12"/>
      <c r="J889" s="12"/>
      <c r="K889" s="12"/>
    </row>
    <row r="890">
      <c r="G890" s="11"/>
      <c r="H890" s="11"/>
      <c r="I890" s="12"/>
      <c r="J890" s="12"/>
      <c r="K890" s="12"/>
    </row>
    <row r="891">
      <c r="G891" s="11"/>
      <c r="H891" s="11"/>
      <c r="I891" s="12"/>
      <c r="J891" s="12"/>
      <c r="K891" s="12"/>
    </row>
    <row r="892">
      <c r="G892" s="11"/>
      <c r="H892" s="11"/>
      <c r="I892" s="12"/>
      <c r="J892" s="12"/>
      <c r="K892" s="12"/>
    </row>
    <row r="893">
      <c r="G893" s="11"/>
      <c r="H893" s="11"/>
      <c r="I893" s="12"/>
      <c r="J893" s="12"/>
      <c r="K893" s="12"/>
    </row>
    <row r="894">
      <c r="G894" s="11"/>
      <c r="H894" s="11"/>
      <c r="I894" s="12"/>
      <c r="J894" s="12"/>
      <c r="K894" s="12"/>
    </row>
    <row r="895">
      <c r="G895" s="11"/>
      <c r="H895" s="11"/>
      <c r="I895" s="12"/>
      <c r="J895" s="12"/>
      <c r="K895" s="12"/>
    </row>
    <row r="896">
      <c r="G896" s="11"/>
      <c r="H896" s="11"/>
      <c r="I896" s="12"/>
      <c r="J896" s="12"/>
      <c r="K896" s="12"/>
    </row>
    <row r="897">
      <c r="G897" s="11"/>
      <c r="H897" s="11"/>
      <c r="I897" s="12"/>
      <c r="J897" s="12"/>
      <c r="K897" s="12"/>
    </row>
    <row r="898">
      <c r="G898" s="11"/>
      <c r="H898" s="11"/>
      <c r="I898" s="12"/>
      <c r="J898" s="12"/>
      <c r="K898" s="12"/>
    </row>
    <row r="899">
      <c r="G899" s="11"/>
      <c r="H899" s="11"/>
      <c r="I899" s="12"/>
      <c r="J899" s="12"/>
      <c r="K899" s="12"/>
    </row>
    <row r="900">
      <c r="G900" s="11"/>
      <c r="H900" s="11"/>
      <c r="I900" s="12"/>
      <c r="J900" s="12"/>
      <c r="K900" s="12"/>
    </row>
    <row r="901">
      <c r="G901" s="11"/>
      <c r="H901" s="11"/>
      <c r="I901" s="12"/>
      <c r="J901" s="12"/>
      <c r="K901" s="12"/>
    </row>
    <row r="902">
      <c r="G902" s="11"/>
      <c r="H902" s="11"/>
      <c r="I902" s="12"/>
      <c r="J902" s="12"/>
      <c r="K902" s="12"/>
    </row>
    <row r="903">
      <c r="G903" s="11"/>
      <c r="H903" s="11"/>
      <c r="I903" s="12"/>
      <c r="J903" s="12"/>
      <c r="K903" s="12"/>
    </row>
    <row r="904">
      <c r="G904" s="11"/>
      <c r="H904" s="11"/>
      <c r="I904" s="12"/>
      <c r="J904" s="12"/>
      <c r="K904" s="12"/>
    </row>
    <row r="905">
      <c r="G905" s="11"/>
      <c r="H905" s="11"/>
      <c r="I905" s="12"/>
      <c r="J905" s="12"/>
      <c r="K905" s="12"/>
    </row>
    <row r="906">
      <c r="G906" s="11"/>
      <c r="H906" s="11"/>
      <c r="I906" s="12"/>
      <c r="J906" s="12"/>
      <c r="K906" s="12"/>
    </row>
    <row r="907">
      <c r="G907" s="11"/>
      <c r="H907" s="11"/>
      <c r="I907" s="12"/>
      <c r="J907" s="12"/>
      <c r="K907" s="12"/>
    </row>
    <row r="908">
      <c r="G908" s="11"/>
      <c r="H908" s="11"/>
      <c r="I908" s="12"/>
      <c r="J908" s="12"/>
      <c r="K908" s="12"/>
    </row>
    <row r="909">
      <c r="G909" s="11"/>
      <c r="H909" s="11"/>
      <c r="I909" s="12"/>
      <c r="J909" s="12"/>
      <c r="K909" s="12"/>
    </row>
    <row r="910">
      <c r="G910" s="11"/>
      <c r="H910" s="11"/>
      <c r="I910" s="12"/>
      <c r="J910" s="12"/>
      <c r="K910" s="12"/>
    </row>
    <row r="911">
      <c r="G911" s="11"/>
      <c r="H911" s="11"/>
      <c r="I911" s="12"/>
      <c r="J911" s="12"/>
      <c r="K911" s="12"/>
    </row>
    <row r="912">
      <c r="G912" s="11"/>
      <c r="H912" s="11"/>
      <c r="I912" s="12"/>
      <c r="J912" s="12"/>
      <c r="K912" s="12"/>
    </row>
    <row r="913">
      <c r="G913" s="11"/>
      <c r="H913" s="11"/>
      <c r="I913" s="12"/>
      <c r="J913" s="12"/>
      <c r="K913" s="12"/>
    </row>
    <row r="914">
      <c r="G914" s="11"/>
      <c r="H914" s="11"/>
      <c r="I914" s="12"/>
      <c r="J914" s="12"/>
      <c r="K914" s="12"/>
    </row>
    <row r="915">
      <c r="G915" s="11"/>
      <c r="H915" s="11"/>
      <c r="I915" s="12"/>
      <c r="J915" s="12"/>
      <c r="K915" s="12"/>
    </row>
    <row r="916">
      <c r="G916" s="11"/>
      <c r="H916" s="11"/>
      <c r="I916" s="12"/>
      <c r="J916" s="12"/>
      <c r="K916" s="12"/>
    </row>
    <row r="917">
      <c r="G917" s="11"/>
      <c r="H917" s="11"/>
      <c r="I917" s="12"/>
      <c r="J917" s="12"/>
      <c r="K917" s="12"/>
    </row>
    <row r="918">
      <c r="G918" s="11"/>
      <c r="H918" s="11"/>
      <c r="I918" s="12"/>
      <c r="J918" s="12"/>
      <c r="K918" s="12"/>
    </row>
    <row r="919">
      <c r="G919" s="11"/>
      <c r="H919" s="11"/>
      <c r="I919" s="12"/>
      <c r="J919" s="12"/>
      <c r="K919" s="12"/>
    </row>
    <row r="920">
      <c r="G920" s="11"/>
      <c r="H920" s="11"/>
      <c r="I920" s="12"/>
      <c r="J920" s="12"/>
      <c r="K920" s="12"/>
    </row>
    <row r="921">
      <c r="G921" s="11"/>
      <c r="H921" s="11"/>
      <c r="I921" s="12"/>
      <c r="J921" s="12"/>
      <c r="K921" s="12"/>
    </row>
    <row r="922">
      <c r="G922" s="11"/>
      <c r="H922" s="11"/>
      <c r="I922" s="12"/>
      <c r="J922" s="12"/>
      <c r="K922" s="12"/>
    </row>
    <row r="923">
      <c r="G923" s="11"/>
      <c r="H923" s="11"/>
      <c r="I923" s="12"/>
      <c r="J923" s="12"/>
      <c r="K923" s="12"/>
    </row>
    <row r="924">
      <c r="G924" s="11"/>
      <c r="H924" s="11"/>
      <c r="I924" s="12"/>
      <c r="J924" s="12"/>
      <c r="K924" s="12"/>
    </row>
    <row r="925">
      <c r="G925" s="11"/>
      <c r="H925" s="11"/>
      <c r="I925" s="12"/>
      <c r="J925" s="12"/>
      <c r="K925" s="12"/>
    </row>
    <row r="926">
      <c r="G926" s="11"/>
      <c r="H926" s="11"/>
      <c r="I926" s="12"/>
      <c r="J926" s="12"/>
      <c r="K926" s="12"/>
    </row>
    <row r="927">
      <c r="G927" s="11"/>
      <c r="H927" s="11"/>
      <c r="I927" s="12"/>
      <c r="J927" s="12"/>
      <c r="K927" s="12"/>
    </row>
    <row r="928">
      <c r="G928" s="11"/>
      <c r="H928" s="11"/>
      <c r="I928" s="12"/>
      <c r="J928" s="12"/>
      <c r="K928" s="12"/>
    </row>
    <row r="929">
      <c r="G929" s="11"/>
      <c r="H929" s="11"/>
      <c r="I929" s="12"/>
      <c r="J929" s="12"/>
      <c r="K929" s="12"/>
    </row>
    <row r="930">
      <c r="G930" s="11"/>
      <c r="H930" s="11"/>
      <c r="I930" s="12"/>
      <c r="J930" s="12"/>
      <c r="K930" s="12"/>
    </row>
    <row r="931">
      <c r="G931" s="11"/>
      <c r="H931" s="11"/>
      <c r="I931" s="12"/>
      <c r="J931" s="12"/>
      <c r="K931" s="12"/>
    </row>
    <row r="932">
      <c r="G932" s="11"/>
      <c r="H932" s="11"/>
      <c r="I932" s="12"/>
      <c r="J932" s="12"/>
      <c r="K932" s="12"/>
    </row>
    <row r="933">
      <c r="G933" s="11"/>
      <c r="H933" s="11"/>
      <c r="I933" s="12"/>
      <c r="J933" s="12"/>
      <c r="K933" s="12"/>
    </row>
    <row r="934">
      <c r="G934" s="11"/>
      <c r="H934" s="11"/>
      <c r="I934" s="12"/>
      <c r="J934" s="12"/>
      <c r="K934" s="12"/>
    </row>
    <row r="935">
      <c r="G935" s="11"/>
      <c r="H935" s="11"/>
      <c r="I935" s="12"/>
      <c r="J935" s="12"/>
      <c r="K935" s="12"/>
    </row>
    <row r="936">
      <c r="G936" s="11"/>
      <c r="H936" s="11"/>
      <c r="I936" s="12"/>
      <c r="J936" s="12"/>
      <c r="K936" s="12"/>
    </row>
    <row r="937">
      <c r="G937" s="11"/>
      <c r="H937" s="11"/>
      <c r="I937" s="12"/>
      <c r="J937" s="12"/>
      <c r="K937" s="12"/>
    </row>
    <row r="938">
      <c r="G938" s="11"/>
      <c r="H938" s="11"/>
      <c r="I938" s="12"/>
      <c r="J938" s="12"/>
      <c r="K938" s="12"/>
    </row>
    <row r="939">
      <c r="G939" s="11"/>
      <c r="H939" s="11"/>
      <c r="I939" s="12"/>
      <c r="J939" s="12"/>
      <c r="K939" s="12"/>
    </row>
    <row r="940">
      <c r="G940" s="11"/>
      <c r="H940" s="11"/>
      <c r="I940" s="12"/>
      <c r="J940" s="12"/>
      <c r="K940" s="12"/>
    </row>
    <row r="941">
      <c r="G941" s="11"/>
      <c r="H941" s="11"/>
      <c r="I941" s="12"/>
      <c r="J941" s="12"/>
      <c r="K941" s="12"/>
    </row>
    <row r="942">
      <c r="G942" s="11"/>
      <c r="H942" s="11"/>
      <c r="I942" s="12"/>
      <c r="J942" s="12"/>
      <c r="K942" s="12"/>
    </row>
    <row r="943">
      <c r="G943" s="11"/>
      <c r="H943" s="11"/>
      <c r="I943" s="12"/>
      <c r="J943" s="12"/>
      <c r="K943" s="12"/>
    </row>
    <row r="944">
      <c r="G944" s="11"/>
      <c r="H944" s="11"/>
      <c r="I944" s="12"/>
      <c r="J944" s="12"/>
      <c r="K944" s="12"/>
    </row>
    <row r="945">
      <c r="G945" s="11"/>
      <c r="H945" s="11"/>
      <c r="I945" s="12"/>
      <c r="J945" s="12"/>
      <c r="K945" s="12"/>
    </row>
    <row r="946">
      <c r="G946" s="11"/>
      <c r="H946" s="11"/>
      <c r="I946" s="12"/>
      <c r="J946" s="12"/>
      <c r="K946" s="12"/>
    </row>
    <row r="947">
      <c r="G947" s="11"/>
      <c r="H947" s="11"/>
      <c r="I947" s="12"/>
      <c r="J947" s="12"/>
      <c r="K947" s="12"/>
    </row>
    <row r="948">
      <c r="G948" s="11"/>
      <c r="H948" s="11"/>
      <c r="I948" s="12"/>
      <c r="J948" s="12"/>
      <c r="K948" s="12"/>
    </row>
    <row r="949">
      <c r="G949" s="11"/>
      <c r="H949" s="11"/>
      <c r="I949" s="12"/>
      <c r="J949" s="12"/>
      <c r="K949" s="12"/>
    </row>
    <row r="950">
      <c r="G950" s="11"/>
      <c r="H950" s="11"/>
      <c r="I950" s="12"/>
      <c r="J950" s="12"/>
      <c r="K950" s="12"/>
    </row>
    <row r="951">
      <c r="G951" s="11"/>
      <c r="H951" s="11"/>
      <c r="I951" s="12"/>
      <c r="J951" s="12"/>
      <c r="K951" s="12"/>
    </row>
    <row r="952">
      <c r="G952" s="11"/>
      <c r="H952" s="11"/>
      <c r="I952" s="12"/>
      <c r="J952" s="12"/>
      <c r="K952" s="12"/>
    </row>
    <row r="953">
      <c r="G953" s="11"/>
      <c r="H953" s="11"/>
      <c r="I953" s="12"/>
      <c r="J953" s="12"/>
      <c r="K953" s="12"/>
    </row>
    <row r="954">
      <c r="G954" s="11"/>
      <c r="H954" s="11"/>
      <c r="I954" s="12"/>
      <c r="J954" s="12"/>
      <c r="K954" s="12"/>
    </row>
    <row r="955">
      <c r="G955" s="11"/>
      <c r="H955" s="11"/>
      <c r="I955" s="12"/>
      <c r="J955" s="12"/>
      <c r="K955" s="12"/>
    </row>
    <row r="956">
      <c r="G956" s="11"/>
      <c r="H956" s="11"/>
      <c r="I956" s="12"/>
      <c r="J956" s="12"/>
      <c r="K956" s="12"/>
    </row>
    <row r="957">
      <c r="G957" s="11"/>
      <c r="H957" s="11"/>
      <c r="I957" s="12"/>
      <c r="J957" s="12"/>
      <c r="K957" s="12"/>
    </row>
    <row r="958">
      <c r="G958" s="11"/>
      <c r="H958" s="11"/>
      <c r="I958" s="12"/>
      <c r="J958" s="12"/>
      <c r="K958" s="12"/>
    </row>
    <row r="959">
      <c r="G959" s="11"/>
      <c r="H959" s="11"/>
      <c r="I959" s="12"/>
      <c r="J959" s="12"/>
      <c r="K959" s="12"/>
    </row>
    <row r="960">
      <c r="G960" s="11"/>
      <c r="H960" s="11"/>
      <c r="I960" s="12"/>
      <c r="J960" s="12"/>
      <c r="K960" s="12"/>
    </row>
    <row r="961">
      <c r="G961" s="11"/>
      <c r="H961" s="11"/>
      <c r="I961" s="12"/>
      <c r="J961" s="12"/>
      <c r="K961" s="12"/>
    </row>
    <row r="962">
      <c r="G962" s="11"/>
      <c r="H962" s="11"/>
      <c r="I962" s="12"/>
      <c r="J962" s="12"/>
      <c r="K962" s="12"/>
    </row>
    <row r="963">
      <c r="G963" s="11"/>
      <c r="H963" s="11"/>
      <c r="I963" s="12"/>
      <c r="J963" s="12"/>
      <c r="K963" s="12"/>
    </row>
    <row r="964">
      <c r="G964" s="11"/>
      <c r="H964" s="11"/>
      <c r="I964" s="12"/>
      <c r="J964" s="12"/>
      <c r="K964" s="12"/>
    </row>
    <row r="965">
      <c r="G965" s="11"/>
      <c r="H965" s="11"/>
      <c r="I965" s="12"/>
      <c r="J965" s="12"/>
      <c r="K965" s="12"/>
    </row>
    <row r="966">
      <c r="G966" s="11"/>
      <c r="H966" s="11"/>
      <c r="I966" s="12"/>
      <c r="J966" s="12"/>
      <c r="K966" s="12"/>
    </row>
    <row r="967">
      <c r="G967" s="11"/>
      <c r="H967" s="11"/>
      <c r="I967" s="12"/>
      <c r="J967" s="12"/>
      <c r="K967" s="12"/>
    </row>
    <row r="968">
      <c r="G968" s="11"/>
      <c r="H968" s="11"/>
      <c r="I968" s="12"/>
      <c r="J968" s="12"/>
      <c r="K968" s="12"/>
    </row>
    <row r="969">
      <c r="G969" s="11"/>
      <c r="H969" s="11"/>
      <c r="I969" s="12"/>
      <c r="J969" s="12"/>
      <c r="K969" s="12"/>
    </row>
    <row r="970">
      <c r="G970" s="11"/>
      <c r="H970" s="11"/>
      <c r="I970" s="12"/>
      <c r="J970" s="12"/>
      <c r="K970" s="12"/>
    </row>
    <row r="971">
      <c r="G971" s="11"/>
      <c r="H971" s="11"/>
      <c r="I971" s="12"/>
      <c r="J971" s="12"/>
      <c r="K971" s="12"/>
    </row>
    <row r="972">
      <c r="G972" s="11"/>
      <c r="H972" s="11"/>
      <c r="I972" s="12"/>
      <c r="J972" s="12"/>
      <c r="K972" s="12"/>
    </row>
    <row r="973">
      <c r="G973" s="11"/>
      <c r="H973" s="11"/>
      <c r="I973" s="12"/>
      <c r="J973" s="12"/>
      <c r="K973" s="12"/>
    </row>
    <row r="974">
      <c r="G974" s="11"/>
      <c r="H974" s="11"/>
      <c r="I974" s="12"/>
      <c r="J974" s="12"/>
      <c r="K974" s="12"/>
    </row>
    <row r="975">
      <c r="G975" s="11"/>
      <c r="H975" s="11"/>
      <c r="I975" s="12"/>
      <c r="J975" s="12"/>
      <c r="K975" s="12"/>
    </row>
    <row r="976">
      <c r="G976" s="11"/>
      <c r="H976" s="11"/>
      <c r="I976" s="12"/>
      <c r="J976" s="12"/>
      <c r="K976" s="12"/>
    </row>
    <row r="977">
      <c r="G977" s="11"/>
      <c r="H977" s="11"/>
      <c r="I977" s="12"/>
      <c r="J977" s="12"/>
      <c r="K977" s="12"/>
    </row>
    <row r="978">
      <c r="G978" s="11"/>
      <c r="H978" s="11"/>
      <c r="I978" s="12"/>
      <c r="J978" s="12"/>
      <c r="K978" s="12"/>
    </row>
    <row r="979">
      <c r="G979" s="11"/>
      <c r="H979" s="11"/>
      <c r="I979" s="12"/>
      <c r="J979" s="12"/>
      <c r="K979" s="12"/>
    </row>
    <row r="980">
      <c r="G980" s="11"/>
      <c r="H980" s="11"/>
      <c r="I980" s="12"/>
      <c r="J980" s="12"/>
      <c r="K980" s="12"/>
    </row>
    <row r="981">
      <c r="G981" s="11"/>
      <c r="H981" s="11"/>
      <c r="I981" s="12"/>
      <c r="J981" s="12"/>
      <c r="K981" s="12"/>
    </row>
    <row r="982">
      <c r="G982" s="11"/>
      <c r="H982" s="11"/>
      <c r="I982" s="12"/>
      <c r="J982" s="12"/>
      <c r="K982" s="12"/>
    </row>
    <row r="983">
      <c r="G983" s="11"/>
      <c r="H983" s="11"/>
      <c r="I983" s="12"/>
      <c r="J983" s="12"/>
      <c r="K983" s="12"/>
    </row>
    <row r="984">
      <c r="G984" s="11"/>
      <c r="H984" s="11"/>
      <c r="I984" s="12"/>
      <c r="J984" s="12"/>
      <c r="K984" s="12"/>
    </row>
    <row r="985">
      <c r="G985" s="11"/>
      <c r="H985" s="11"/>
      <c r="I985" s="12"/>
      <c r="J985" s="12"/>
      <c r="K985" s="12"/>
    </row>
    <row r="986">
      <c r="G986" s="11"/>
      <c r="H986" s="11"/>
      <c r="I986" s="12"/>
      <c r="J986" s="12"/>
      <c r="K986" s="12"/>
    </row>
    <row r="987">
      <c r="G987" s="11"/>
      <c r="H987" s="11"/>
      <c r="I987" s="12"/>
      <c r="J987" s="12"/>
      <c r="K987" s="12"/>
    </row>
    <row r="988">
      <c r="G988" s="11"/>
      <c r="H988" s="11"/>
      <c r="I988" s="12"/>
      <c r="J988" s="12"/>
      <c r="K988" s="12"/>
    </row>
    <row r="989">
      <c r="G989" s="11"/>
      <c r="H989" s="11"/>
      <c r="I989" s="12"/>
      <c r="J989" s="12"/>
      <c r="K989" s="12"/>
    </row>
    <row r="990">
      <c r="G990" s="11"/>
      <c r="H990" s="11"/>
      <c r="I990" s="12"/>
      <c r="J990" s="12"/>
      <c r="K990" s="12"/>
    </row>
    <row r="991">
      <c r="G991" s="11"/>
      <c r="H991" s="11"/>
      <c r="I991" s="12"/>
      <c r="J991" s="12"/>
      <c r="K991" s="12"/>
    </row>
    <row r="992">
      <c r="G992" s="11"/>
      <c r="H992" s="11"/>
      <c r="I992" s="12"/>
      <c r="J992" s="12"/>
      <c r="K992" s="12"/>
    </row>
    <row r="993">
      <c r="G993" s="11"/>
      <c r="H993" s="11"/>
      <c r="I993" s="12"/>
      <c r="J993" s="12"/>
      <c r="K993" s="12"/>
    </row>
    <row r="994">
      <c r="G994" s="11"/>
      <c r="H994" s="11"/>
      <c r="I994" s="12"/>
      <c r="J994" s="12"/>
      <c r="K994" s="12"/>
    </row>
    <row r="995">
      <c r="G995" s="11"/>
      <c r="H995" s="11"/>
      <c r="I995" s="12"/>
      <c r="J995" s="12"/>
      <c r="K995" s="12"/>
    </row>
    <row r="996">
      <c r="G996" s="11"/>
      <c r="H996" s="11"/>
      <c r="I996" s="12"/>
      <c r="J996" s="12"/>
      <c r="K996" s="12"/>
    </row>
    <row r="997">
      <c r="G997" s="11"/>
      <c r="H997" s="11"/>
      <c r="I997" s="12"/>
      <c r="J997" s="12"/>
      <c r="K997" s="12"/>
    </row>
    <row r="998">
      <c r="G998" s="11"/>
      <c r="H998" s="11"/>
      <c r="I998" s="12"/>
      <c r="J998" s="12"/>
      <c r="K998" s="12"/>
    </row>
    <row r="999">
      <c r="G999" s="11"/>
      <c r="H999" s="11"/>
      <c r="I999" s="12"/>
      <c r="J999" s="12"/>
      <c r="K999" s="12"/>
    </row>
    <row r="1000">
      <c r="G1000" s="11"/>
      <c r="H1000" s="11"/>
      <c r="I1000" s="12"/>
      <c r="J1000" s="12"/>
      <c r="K1000" s="12"/>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8"/>
    <col customWidth="1" min="2" max="3" width="15.88"/>
  </cols>
  <sheetData>
    <row r="1">
      <c r="A1" s="14" t="s">
        <v>19</v>
      </c>
      <c r="B1" s="14" t="s">
        <v>20</v>
      </c>
      <c r="C1" s="15" t="s">
        <v>21</v>
      </c>
      <c r="D1" s="16"/>
      <c r="E1" s="16"/>
      <c r="F1" s="16"/>
      <c r="G1" s="16"/>
      <c r="H1" s="16"/>
      <c r="I1" s="16"/>
      <c r="J1" s="16"/>
      <c r="K1" s="16"/>
      <c r="L1" s="16"/>
      <c r="M1" s="16"/>
      <c r="N1" s="16"/>
      <c r="O1" s="16"/>
      <c r="P1" s="16"/>
      <c r="Q1" s="16"/>
      <c r="R1" s="16"/>
      <c r="S1" s="16"/>
      <c r="T1" s="16"/>
      <c r="U1" s="16"/>
      <c r="V1" s="16"/>
      <c r="W1" s="16"/>
      <c r="X1" s="16"/>
      <c r="Y1" s="16"/>
    </row>
    <row r="2">
      <c r="A2" s="17" t="s">
        <v>22</v>
      </c>
      <c r="B2" s="18">
        <f>GETPIVOTDATA("Spending ($)",'Pivot Table 3'!$A$1)</f>
        <v>624905</v>
      </c>
      <c r="C2" s="18">
        <f>SUM('TikTok Ads Raw Data'!D2:D366)</f>
        <v>510905</v>
      </c>
    </row>
    <row r="3">
      <c r="A3" s="17" t="s">
        <v>23</v>
      </c>
      <c r="B3" s="19">
        <f>GETPIVOTDATA("Clicks", 'IG Ads Performance Metrics'!$A$1)</f>
        <v>418340</v>
      </c>
      <c r="C3" s="19">
        <f>SUM('TikTok Ads Raw Data'!C2:C366)</f>
        <v>527974</v>
      </c>
    </row>
    <row r="4">
      <c r="A4" s="17" t="s">
        <v>24</v>
      </c>
      <c r="B4" s="19">
        <f>GETPIVOTDATA("Impressions",'IG Ads Performance Metrics'!$A$1)</f>
        <v>20736514</v>
      </c>
      <c r="C4" s="19">
        <f>SUM('TikTok Ads Raw Data'!B2:B366)</f>
        <v>25126402</v>
      </c>
    </row>
    <row r="5">
      <c r="A5" s="17" t="s">
        <v>25</v>
      </c>
      <c r="B5" s="20">
        <f>IFERROR(GETPIVOTDATA("Spending ($)",'Pivot Table 3'!$A$1)/GETPIVOTDATA("Clicks",'Pivot Table 3'!$A$1),0)</f>
        <v>1.493773008</v>
      </c>
      <c r="C5" s="21">
        <f>SUM('TikTok Ads Raw Data'!D2:D366)/SUM('TikTok Ads Raw Data'!C2:C366)</f>
        <v>0.9676707565</v>
      </c>
    </row>
    <row r="6">
      <c r="A6" s="17" t="s">
        <v>26</v>
      </c>
      <c r="B6" s="20">
        <f>IFERROR(GETPIVOTDATA("Spending ($)",'Pivot Table 3'!$A$1)/GETPIVOTDATA("Impressions",'Pivot Table 3'!$A$1)*1000,0)</f>
        <v>30.1354895</v>
      </c>
      <c r="C6" s="21">
        <f>SUM('TikTok Ads Raw Data'!D2:D366)/SUM('TikTok Ads Raw Data'!B2:B366)*1000</f>
        <v>20.33339274</v>
      </c>
    </row>
    <row r="7">
      <c r="A7" s="17" t="s">
        <v>27</v>
      </c>
      <c r="B7" s="22">
        <f>GETPIVOTDATA("Conversions",'Pivot Table 3'!$A$1)</f>
        <v>7777</v>
      </c>
      <c r="C7" s="19">
        <f>SUM('TikTok Ads Raw Data'!E2:E366)</f>
        <v>9870</v>
      </c>
    </row>
    <row r="8">
      <c r="A8" s="17" t="s">
        <v>28</v>
      </c>
      <c r="B8" s="20">
        <f>IFERROR(GETPIVOTDATA("Spending ($)",'Pivot Table 3'!$A$1)/GETPIVOTDATA("Conversions",'Pivot Table 3'!$A$1),0)</f>
        <v>80.35296387</v>
      </c>
      <c r="C8" s="21">
        <f>SUM('TikTok Ads Raw Data'!D2:D366)/SUM('TikTok Ads Raw Data'!E2:E366)</f>
        <v>51.76342452</v>
      </c>
    </row>
    <row r="9">
      <c r="A9" s="17" t="s">
        <v>29</v>
      </c>
      <c r="B9" s="20">
        <f>GETPIVOTDATA("Revenue ($)",'Pivot Table 3'!$A$1)</f>
        <v>1213255</v>
      </c>
      <c r="C9" s="21">
        <f>SUM('TikTok Ads Raw Data'!F2:F366)</f>
        <v>1522890</v>
      </c>
    </row>
    <row r="10">
      <c r="A10" s="17" t="s">
        <v>30</v>
      </c>
      <c r="B10" s="22">
        <f>IFERROR(GETPIVOTDATA("Revenue ($)",'Pivot Table 3'!$A$1)/GETPIVOTDATA("Spending ($)",'Pivot Table 3'!$A$1),0)</f>
        <v>1.941503108</v>
      </c>
      <c r="C10" s="19">
        <f>SUM('TikTok Ads Raw Data'!F2:F366)/SUM('TikTok Ads Raw Data'!D2:D366)</f>
        <v>2.980769419</v>
      </c>
    </row>
    <row r="11">
      <c r="A11" s="23" t="s">
        <v>31</v>
      </c>
      <c r="B11" s="22" t="s">
        <v>32</v>
      </c>
      <c r="C11" s="22" t="s">
        <v>32</v>
      </c>
    </row>
    <row r="12">
      <c r="A12" s="23" t="s">
        <v>33</v>
      </c>
      <c r="B12" s="22" t="s">
        <v>32</v>
      </c>
      <c r="C12" s="22" t="s">
        <v>32</v>
      </c>
    </row>
    <row r="13">
      <c r="A13" s="23" t="s">
        <v>34</v>
      </c>
      <c r="B13" s="22" t="s">
        <v>32</v>
      </c>
      <c r="C13" s="22" t="s">
        <v>35</v>
      </c>
    </row>
    <row r="14">
      <c r="A14" s="23" t="s">
        <v>36</v>
      </c>
      <c r="B14" s="24">
        <v>1.47</v>
      </c>
      <c r="C14" s="24">
        <v>0.87</v>
      </c>
    </row>
    <row r="15">
      <c r="A15" s="23" t="s">
        <v>37</v>
      </c>
      <c r="B15" s="24">
        <v>30.49</v>
      </c>
      <c r="C15" s="24">
        <v>19.62</v>
      </c>
    </row>
    <row r="16">
      <c r="A16" s="23" t="s">
        <v>38</v>
      </c>
      <c r="B16" s="24">
        <v>160.85</v>
      </c>
      <c r="C16" s="24">
        <v>156.45</v>
      </c>
    </row>
    <row r="17">
      <c r="B17" s="25"/>
      <c r="C17" s="19"/>
    </row>
    <row r="18">
      <c r="B18" s="25"/>
      <c r="C18" s="19"/>
    </row>
    <row r="19">
      <c r="A19" s="1" t="s">
        <v>39</v>
      </c>
      <c r="B19" s="25"/>
      <c r="C19" s="19"/>
    </row>
    <row r="20">
      <c r="B20" s="25"/>
      <c r="C20" s="19"/>
    </row>
    <row r="21">
      <c r="B21" s="25"/>
      <c r="C21" s="19"/>
    </row>
    <row r="22">
      <c r="B22" s="25"/>
      <c r="C22" s="19"/>
    </row>
    <row r="23">
      <c r="B23" s="25"/>
      <c r="C23" s="19"/>
    </row>
    <row r="24">
      <c r="B24" s="25"/>
      <c r="C24" s="19"/>
    </row>
    <row r="25">
      <c r="B25" s="25"/>
      <c r="C25" s="19"/>
    </row>
    <row r="26">
      <c r="B26" s="25"/>
      <c r="C26" s="19"/>
    </row>
    <row r="27">
      <c r="B27" s="25"/>
      <c r="C27" s="19"/>
    </row>
    <row r="28">
      <c r="B28" s="25"/>
      <c r="C28" s="19"/>
    </row>
    <row r="29">
      <c r="B29" s="25"/>
      <c r="C29" s="19"/>
    </row>
    <row r="30">
      <c r="B30" s="25"/>
      <c r="C30" s="19"/>
    </row>
    <row r="31">
      <c r="B31" s="25"/>
      <c r="C31" s="19"/>
    </row>
    <row r="32">
      <c r="B32" s="25"/>
      <c r="C32" s="19"/>
    </row>
    <row r="33">
      <c r="B33" s="25"/>
      <c r="C33" s="19"/>
    </row>
    <row r="34">
      <c r="B34" s="25"/>
      <c r="C34" s="19"/>
    </row>
    <row r="35">
      <c r="B35" s="25"/>
      <c r="C35" s="19"/>
    </row>
    <row r="36">
      <c r="B36" s="25"/>
      <c r="C36" s="19"/>
    </row>
    <row r="37">
      <c r="B37" s="25"/>
      <c r="C37" s="19"/>
    </row>
    <row r="38">
      <c r="B38" s="25"/>
      <c r="C38" s="19"/>
    </row>
    <row r="39">
      <c r="B39" s="25"/>
      <c r="C39" s="19"/>
    </row>
    <row r="40">
      <c r="B40" s="25"/>
      <c r="C40" s="19"/>
    </row>
    <row r="41">
      <c r="B41" s="25"/>
      <c r="C41" s="19"/>
    </row>
    <row r="42">
      <c r="B42" s="25"/>
      <c r="C42" s="19"/>
    </row>
    <row r="43">
      <c r="B43" s="25"/>
      <c r="C43" s="19"/>
    </row>
    <row r="44">
      <c r="B44" s="25"/>
      <c r="C44" s="19"/>
    </row>
    <row r="45">
      <c r="B45" s="25"/>
      <c r="C45" s="19"/>
    </row>
    <row r="46">
      <c r="B46" s="25"/>
      <c r="C46" s="19"/>
    </row>
    <row r="47">
      <c r="B47" s="25"/>
      <c r="C47" s="19"/>
    </row>
    <row r="48">
      <c r="B48" s="25"/>
      <c r="C48" s="19"/>
    </row>
    <row r="49">
      <c r="B49" s="25"/>
      <c r="C49" s="19"/>
    </row>
    <row r="50">
      <c r="B50" s="25"/>
      <c r="C50" s="19"/>
    </row>
    <row r="51">
      <c r="B51" s="25"/>
      <c r="C51" s="19"/>
    </row>
    <row r="52">
      <c r="B52" s="25"/>
      <c r="C52" s="19"/>
    </row>
    <row r="53">
      <c r="B53" s="25"/>
      <c r="C53" s="19"/>
    </row>
    <row r="54">
      <c r="B54" s="25"/>
      <c r="C54" s="19"/>
    </row>
    <row r="55">
      <c r="B55" s="25"/>
      <c r="C55" s="19"/>
    </row>
    <row r="56">
      <c r="B56" s="25"/>
      <c r="C56" s="19"/>
    </row>
    <row r="57">
      <c r="B57" s="25"/>
      <c r="C57" s="19"/>
    </row>
    <row r="58">
      <c r="B58" s="25"/>
      <c r="C58" s="19"/>
    </row>
    <row r="59">
      <c r="B59" s="25"/>
      <c r="C59" s="19"/>
    </row>
    <row r="60">
      <c r="B60" s="25"/>
      <c r="C60" s="19"/>
    </row>
    <row r="61">
      <c r="B61" s="25"/>
      <c r="C61" s="19"/>
    </row>
    <row r="62">
      <c r="B62" s="25"/>
      <c r="C62" s="19"/>
    </row>
    <row r="63">
      <c r="B63" s="25"/>
      <c r="C63" s="19"/>
    </row>
    <row r="64">
      <c r="B64" s="25"/>
      <c r="C64" s="19"/>
    </row>
    <row r="65">
      <c r="B65" s="25"/>
      <c r="C65" s="19"/>
    </row>
    <row r="66">
      <c r="B66" s="25"/>
      <c r="C66" s="19"/>
    </row>
    <row r="67">
      <c r="B67" s="25"/>
      <c r="C67" s="19"/>
    </row>
    <row r="68">
      <c r="B68" s="25"/>
      <c r="C68" s="19"/>
    </row>
    <row r="69">
      <c r="B69" s="25"/>
      <c r="C69" s="19"/>
    </row>
    <row r="70">
      <c r="B70" s="25"/>
      <c r="C70" s="19"/>
    </row>
    <row r="71">
      <c r="B71" s="25"/>
      <c r="C71" s="19"/>
    </row>
    <row r="72">
      <c r="B72" s="25"/>
      <c r="C72" s="19"/>
    </row>
    <row r="73">
      <c r="B73" s="25"/>
      <c r="C73" s="19"/>
    </row>
    <row r="74">
      <c r="B74" s="25"/>
      <c r="C74" s="19"/>
    </row>
    <row r="75">
      <c r="B75" s="25"/>
      <c r="C75" s="19"/>
    </row>
    <row r="76">
      <c r="B76" s="25"/>
      <c r="C76" s="19"/>
    </row>
    <row r="77">
      <c r="B77" s="25"/>
      <c r="C77" s="19"/>
    </row>
    <row r="78">
      <c r="B78" s="25"/>
      <c r="C78" s="19"/>
    </row>
    <row r="79">
      <c r="B79" s="25"/>
      <c r="C79" s="19"/>
    </row>
    <row r="80">
      <c r="B80" s="25"/>
      <c r="C80" s="19"/>
    </row>
    <row r="81">
      <c r="B81" s="25"/>
      <c r="C81" s="19"/>
    </row>
    <row r="82">
      <c r="B82" s="25"/>
      <c r="C82" s="19"/>
    </row>
    <row r="83">
      <c r="B83" s="25"/>
      <c r="C83" s="19"/>
    </row>
    <row r="84">
      <c r="B84" s="25"/>
      <c r="C84" s="19"/>
    </row>
    <row r="85">
      <c r="B85" s="25"/>
      <c r="C85" s="19"/>
    </row>
    <row r="86">
      <c r="B86" s="25"/>
      <c r="C86" s="19"/>
    </row>
    <row r="87">
      <c r="B87" s="25"/>
      <c r="C87" s="19"/>
    </row>
    <row r="88">
      <c r="B88" s="25"/>
      <c r="C88" s="19"/>
    </row>
    <row r="89">
      <c r="B89" s="25"/>
      <c r="C89" s="19"/>
    </row>
    <row r="90">
      <c r="B90" s="25"/>
      <c r="C90" s="19"/>
    </row>
    <row r="91">
      <c r="B91" s="25"/>
      <c r="C91" s="19"/>
    </row>
    <row r="92">
      <c r="B92" s="25"/>
      <c r="C92" s="19"/>
    </row>
    <row r="93">
      <c r="B93" s="25"/>
      <c r="C93" s="19"/>
    </row>
    <row r="94">
      <c r="B94" s="25"/>
      <c r="C94" s="19"/>
    </row>
    <row r="95">
      <c r="B95" s="25"/>
      <c r="C95" s="19"/>
    </row>
    <row r="96">
      <c r="B96" s="25"/>
      <c r="C96" s="19"/>
    </row>
    <row r="97">
      <c r="B97" s="25"/>
      <c r="C97" s="19"/>
    </row>
    <row r="98">
      <c r="B98" s="25"/>
      <c r="C98" s="19"/>
    </row>
    <row r="99">
      <c r="B99" s="25"/>
      <c r="C99" s="19"/>
    </row>
    <row r="100">
      <c r="B100" s="25"/>
      <c r="C100" s="19"/>
    </row>
    <row r="101">
      <c r="B101" s="25"/>
      <c r="C101" s="19"/>
    </row>
    <row r="102">
      <c r="B102" s="25"/>
      <c r="C102" s="19"/>
    </row>
    <row r="103">
      <c r="B103" s="25"/>
      <c r="C103" s="19"/>
    </row>
    <row r="104">
      <c r="B104" s="25"/>
      <c r="C104" s="19"/>
    </row>
    <row r="105">
      <c r="B105" s="25"/>
      <c r="C105" s="19"/>
    </row>
    <row r="106">
      <c r="B106" s="25"/>
      <c r="C106" s="19"/>
    </row>
    <row r="107">
      <c r="B107" s="25"/>
      <c r="C107" s="19"/>
    </row>
    <row r="108">
      <c r="B108" s="25"/>
      <c r="C108" s="19"/>
    </row>
    <row r="109">
      <c r="B109" s="25"/>
      <c r="C109" s="19"/>
    </row>
    <row r="110">
      <c r="B110" s="25"/>
      <c r="C110" s="19"/>
    </row>
    <row r="111">
      <c r="B111" s="25"/>
      <c r="C111" s="19"/>
    </row>
    <row r="112">
      <c r="B112" s="25"/>
      <c r="C112" s="19"/>
    </row>
    <row r="113">
      <c r="B113" s="25"/>
      <c r="C113" s="19"/>
    </row>
    <row r="114">
      <c r="B114" s="25"/>
      <c r="C114" s="19"/>
    </row>
    <row r="115">
      <c r="B115" s="25"/>
      <c r="C115" s="19"/>
    </row>
    <row r="116">
      <c r="B116" s="25"/>
      <c r="C116" s="19"/>
    </row>
    <row r="117">
      <c r="B117" s="25"/>
      <c r="C117" s="19"/>
    </row>
    <row r="118">
      <c r="B118" s="25"/>
      <c r="C118" s="19"/>
    </row>
    <row r="119">
      <c r="B119" s="25"/>
      <c r="C119" s="19"/>
    </row>
    <row r="120">
      <c r="B120" s="25"/>
      <c r="C120" s="19"/>
    </row>
    <row r="121">
      <c r="B121" s="25"/>
      <c r="C121" s="19"/>
    </row>
    <row r="122">
      <c r="B122" s="25"/>
      <c r="C122" s="19"/>
    </row>
    <row r="123">
      <c r="B123" s="25"/>
      <c r="C123" s="19"/>
    </row>
    <row r="124">
      <c r="B124" s="25"/>
      <c r="C124" s="19"/>
    </row>
    <row r="125">
      <c r="B125" s="25"/>
      <c r="C125" s="19"/>
    </row>
    <row r="126">
      <c r="B126" s="25"/>
      <c r="C126" s="19"/>
    </row>
    <row r="127">
      <c r="B127" s="25"/>
      <c r="C127" s="19"/>
    </row>
    <row r="128">
      <c r="B128" s="25"/>
      <c r="C128" s="19"/>
    </row>
    <row r="129">
      <c r="B129" s="25"/>
      <c r="C129" s="19"/>
    </row>
    <row r="130">
      <c r="B130" s="25"/>
      <c r="C130" s="19"/>
    </row>
    <row r="131">
      <c r="B131" s="25"/>
      <c r="C131" s="19"/>
    </row>
    <row r="132">
      <c r="B132" s="25"/>
      <c r="C132" s="19"/>
    </row>
    <row r="133">
      <c r="B133" s="25"/>
      <c r="C133" s="19"/>
    </row>
    <row r="134">
      <c r="B134" s="25"/>
      <c r="C134" s="19"/>
    </row>
    <row r="135">
      <c r="B135" s="25"/>
      <c r="C135" s="19"/>
    </row>
    <row r="136">
      <c r="B136" s="25"/>
      <c r="C136" s="19"/>
    </row>
    <row r="137">
      <c r="B137" s="25"/>
      <c r="C137" s="19"/>
    </row>
    <row r="138">
      <c r="B138" s="25"/>
      <c r="C138" s="19"/>
    </row>
    <row r="139">
      <c r="B139" s="25"/>
      <c r="C139" s="19"/>
    </row>
    <row r="140">
      <c r="B140" s="25"/>
      <c r="C140" s="19"/>
    </row>
    <row r="141">
      <c r="B141" s="25"/>
      <c r="C141" s="19"/>
    </row>
    <row r="142">
      <c r="B142" s="25"/>
      <c r="C142" s="19"/>
    </row>
    <row r="143">
      <c r="B143" s="25"/>
      <c r="C143" s="19"/>
    </row>
    <row r="144">
      <c r="B144" s="25"/>
      <c r="C144" s="19"/>
    </row>
    <row r="145">
      <c r="B145" s="25"/>
      <c r="C145" s="19"/>
    </row>
    <row r="146">
      <c r="B146" s="25"/>
      <c r="C146" s="19"/>
    </row>
    <row r="147">
      <c r="B147" s="25"/>
      <c r="C147" s="19"/>
    </row>
    <row r="148">
      <c r="B148" s="25"/>
      <c r="C148" s="19"/>
    </row>
    <row r="149">
      <c r="B149" s="25"/>
      <c r="C149" s="19"/>
    </row>
    <row r="150">
      <c r="B150" s="25"/>
      <c r="C150" s="19"/>
    </row>
    <row r="151">
      <c r="B151" s="25"/>
      <c r="C151" s="19"/>
    </row>
    <row r="152">
      <c r="B152" s="25"/>
      <c r="C152" s="19"/>
    </row>
    <row r="153">
      <c r="B153" s="25"/>
      <c r="C153" s="19"/>
    </row>
    <row r="154">
      <c r="B154" s="25"/>
      <c r="C154" s="19"/>
    </row>
    <row r="155">
      <c r="B155" s="25"/>
      <c r="C155" s="19"/>
    </row>
    <row r="156">
      <c r="B156" s="25"/>
      <c r="C156" s="19"/>
    </row>
    <row r="157">
      <c r="B157" s="25"/>
      <c r="C157" s="19"/>
    </row>
    <row r="158">
      <c r="B158" s="25"/>
      <c r="C158" s="19"/>
    </row>
    <row r="159">
      <c r="B159" s="25"/>
      <c r="C159" s="19"/>
    </row>
    <row r="160">
      <c r="B160" s="25"/>
      <c r="C160" s="19"/>
    </row>
    <row r="161">
      <c r="B161" s="25"/>
      <c r="C161" s="19"/>
    </row>
    <row r="162">
      <c r="B162" s="25"/>
      <c r="C162" s="19"/>
    </row>
    <row r="163">
      <c r="B163" s="25"/>
      <c r="C163" s="19"/>
    </row>
    <row r="164">
      <c r="B164" s="25"/>
      <c r="C164" s="19"/>
    </row>
    <row r="165">
      <c r="B165" s="25"/>
      <c r="C165" s="19"/>
    </row>
    <row r="166">
      <c r="B166" s="25"/>
      <c r="C166" s="19"/>
    </row>
    <row r="167">
      <c r="B167" s="25"/>
      <c r="C167" s="19"/>
    </row>
    <row r="168">
      <c r="B168" s="25"/>
      <c r="C168" s="19"/>
    </row>
    <row r="169">
      <c r="B169" s="25"/>
      <c r="C169" s="19"/>
    </row>
    <row r="170">
      <c r="B170" s="25"/>
      <c r="C170" s="19"/>
    </row>
    <row r="171">
      <c r="B171" s="25"/>
      <c r="C171" s="19"/>
    </row>
    <row r="172">
      <c r="B172" s="25"/>
      <c r="C172" s="19"/>
    </row>
    <row r="173">
      <c r="B173" s="25"/>
      <c r="C173" s="19"/>
    </row>
    <row r="174">
      <c r="B174" s="25"/>
      <c r="C174" s="19"/>
    </row>
    <row r="175">
      <c r="B175" s="25"/>
      <c r="C175" s="19"/>
    </row>
    <row r="176">
      <c r="B176" s="25"/>
      <c r="C176" s="19"/>
    </row>
    <row r="177">
      <c r="B177" s="25"/>
      <c r="C177" s="19"/>
    </row>
    <row r="178">
      <c r="B178" s="25"/>
      <c r="C178" s="19"/>
    </row>
    <row r="179">
      <c r="B179" s="25"/>
      <c r="C179" s="19"/>
    </row>
    <row r="180">
      <c r="B180" s="25"/>
      <c r="C180" s="19"/>
    </row>
    <row r="181">
      <c r="B181" s="25"/>
      <c r="C181" s="19"/>
    </row>
    <row r="182">
      <c r="B182" s="25"/>
      <c r="C182" s="19"/>
    </row>
    <row r="183">
      <c r="B183" s="25"/>
      <c r="C183" s="19"/>
    </row>
    <row r="184">
      <c r="B184" s="25"/>
      <c r="C184" s="19"/>
    </row>
    <row r="185">
      <c r="B185" s="25"/>
      <c r="C185" s="19"/>
    </row>
    <row r="186">
      <c r="B186" s="25"/>
      <c r="C186" s="19"/>
    </row>
    <row r="187">
      <c r="B187" s="25"/>
      <c r="C187" s="19"/>
    </row>
    <row r="188">
      <c r="B188" s="25"/>
      <c r="C188" s="19"/>
    </row>
    <row r="189">
      <c r="B189" s="25"/>
      <c r="C189" s="19"/>
    </row>
    <row r="190">
      <c r="B190" s="25"/>
      <c r="C190" s="19"/>
    </row>
    <row r="191">
      <c r="B191" s="25"/>
      <c r="C191" s="19"/>
    </row>
    <row r="192">
      <c r="B192" s="25"/>
      <c r="C192" s="19"/>
    </row>
    <row r="193">
      <c r="B193" s="25"/>
      <c r="C193" s="19"/>
    </row>
    <row r="194">
      <c r="B194" s="25"/>
      <c r="C194" s="19"/>
    </row>
    <row r="195">
      <c r="B195" s="25"/>
      <c r="C195" s="19"/>
    </row>
    <row r="196">
      <c r="B196" s="25"/>
      <c r="C196" s="19"/>
    </row>
    <row r="197">
      <c r="B197" s="25"/>
      <c r="C197" s="19"/>
    </row>
    <row r="198">
      <c r="B198" s="25"/>
      <c r="C198" s="19"/>
    </row>
    <row r="199">
      <c r="B199" s="25"/>
      <c r="C199" s="19"/>
    </row>
    <row r="200">
      <c r="B200" s="25"/>
      <c r="C200" s="19"/>
    </row>
    <row r="201">
      <c r="B201" s="25"/>
      <c r="C201" s="19"/>
    </row>
    <row r="202">
      <c r="B202" s="25"/>
      <c r="C202" s="19"/>
    </row>
    <row r="203">
      <c r="B203" s="25"/>
      <c r="C203" s="19"/>
    </row>
    <row r="204">
      <c r="B204" s="25"/>
      <c r="C204" s="19"/>
    </row>
    <row r="205">
      <c r="B205" s="25"/>
      <c r="C205" s="19"/>
    </row>
    <row r="206">
      <c r="B206" s="25"/>
      <c r="C206" s="19"/>
    </row>
    <row r="207">
      <c r="B207" s="25"/>
      <c r="C207" s="19"/>
    </row>
    <row r="208">
      <c r="B208" s="25"/>
      <c r="C208" s="19"/>
    </row>
    <row r="209">
      <c r="B209" s="25"/>
      <c r="C209" s="19"/>
    </row>
    <row r="210">
      <c r="B210" s="25"/>
      <c r="C210" s="19"/>
    </row>
    <row r="211">
      <c r="B211" s="25"/>
      <c r="C211" s="19"/>
    </row>
    <row r="212">
      <c r="B212" s="25"/>
      <c r="C212" s="19"/>
    </row>
    <row r="213">
      <c r="B213" s="25"/>
      <c r="C213" s="19"/>
    </row>
    <row r="214">
      <c r="B214" s="25"/>
      <c r="C214" s="19"/>
    </row>
    <row r="215">
      <c r="B215" s="25"/>
      <c r="C215" s="19"/>
    </row>
    <row r="216">
      <c r="B216" s="25"/>
      <c r="C216" s="19"/>
    </row>
    <row r="217">
      <c r="B217" s="25"/>
      <c r="C217" s="19"/>
    </row>
    <row r="218">
      <c r="B218" s="25"/>
      <c r="C218" s="19"/>
    </row>
    <row r="219">
      <c r="B219" s="25"/>
      <c r="C219" s="19"/>
    </row>
    <row r="220">
      <c r="B220" s="25"/>
      <c r="C220" s="19"/>
    </row>
    <row r="221">
      <c r="B221" s="25"/>
      <c r="C221" s="19"/>
    </row>
    <row r="222">
      <c r="B222" s="25"/>
      <c r="C222" s="19"/>
    </row>
    <row r="223">
      <c r="B223" s="25"/>
      <c r="C223" s="19"/>
    </row>
    <row r="224">
      <c r="B224" s="25"/>
      <c r="C224" s="19"/>
    </row>
    <row r="225">
      <c r="B225" s="25"/>
      <c r="C225" s="19"/>
    </row>
    <row r="226">
      <c r="B226" s="25"/>
      <c r="C226" s="19"/>
    </row>
    <row r="227">
      <c r="B227" s="25"/>
      <c r="C227" s="19"/>
    </row>
    <row r="228">
      <c r="B228" s="25"/>
      <c r="C228" s="19"/>
    </row>
    <row r="229">
      <c r="B229" s="25"/>
      <c r="C229" s="19"/>
    </row>
    <row r="230">
      <c r="B230" s="25"/>
      <c r="C230" s="19"/>
    </row>
    <row r="231">
      <c r="B231" s="25"/>
      <c r="C231" s="19"/>
    </row>
    <row r="232">
      <c r="B232" s="25"/>
      <c r="C232" s="19"/>
    </row>
    <row r="233">
      <c r="B233" s="25"/>
      <c r="C233" s="19"/>
    </row>
    <row r="234">
      <c r="B234" s="25"/>
      <c r="C234" s="19"/>
    </row>
    <row r="235">
      <c r="B235" s="25"/>
      <c r="C235" s="19"/>
    </row>
    <row r="236">
      <c r="B236" s="25"/>
      <c r="C236" s="19"/>
    </row>
    <row r="237">
      <c r="B237" s="25"/>
      <c r="C237" s="19"/>
    </row>
    <row r="238">
      <c r="B238" s="25"/>
      <c r="C238" s="19"/>
    </row>
    <row r="239">
      <c r="B239" s="25"/>
      <c r="C239" s="19"/>
    </row>
    <row r="240">
      <c r="B240" s="25"/>
      <c r="C240" s="19"/>
    </row>
    <row r="241">
      <c r="B241" s="25"/>
      <c r="C241" s="19"/>
    </row>
    <row r="242">
      <c r="B242" s="25"/>
      <c r="C242" s="19"/>
    </row>
    <row r="243">
      <c r="B243" s="25"/>
      <c r="C243" s="19"/>
    </row>
    <row r="244">
      <c r="B244" s="25"/>
      <c r="C244" s="19"/>
    </row>
    <row r="245">
      <c r="B245" s="25"/>
      <c r="C245" s="19"/>
    </row>
    <row r="246">
      <c r="B246" s="25"/>
      <c r="C246" s="19"/>
    </row>
    <row r="247">
      <c r="B247" s="25"/>
      <c r="C247" s="19"/>
    </row>
    <row r="248">
      <c r="B248" s="25"/>
      <c r="C248" s="19"/>
    </row>
    <row r="249">
      <c r="B249" s="25"/>
      <c r="C249" s="19"/>
    </row>
    <row r="250">
      <c r="B250" s="25"/>
      <c r="C250" s="19"/>
    </row>
    <row r="251">
      <c r="B251" s="25"/>
      <c r="C251" s="19"/>
    </row>
    <row r="252">
      <c r="B252" s="25"/>
      <c r="C252" s="19"/>
    </row>
    <row r="253">
      <c r="B253" s="25"/>
      <c r="C253" s="19"/>
    </row>
    <row r="254">
      <c r="B254" s="25"/>
      <c r="C254" s="19"/>
    </row>
    <row r="255">
      <c r="B255" s="25"/>
      <c r="C255" s="19"/>
    </row>
    <row r="256">
      <c r="B256" s="25"/>
      <c r="C256" s="19"/>
    </row>
    <row r="257">
      <c r="B257" s="25"/>
      <c r="C257" s="19"/>
    </row>
    <row r="258">
      <c r="B258" s="25"/>
      <c r="C258" s="19"/>
    </row>
    <row r="259">
      <c r="B259" s="25"/>
      <c r="C259" s="19"/>
    </row>
    <row r="260">
      <c r="B260" s="25"/>
      <c r="C260" s="19"/>
    </row>
    <row r="261">
      <c r="B261" s="25"/>
      <c r="C261" s="19"/>
    </row>
    <row r="262">
      <c r="B262" s="25"/>
      <c r="C262" s="19"/>
    </row>
    <row r="263">
      <c r="B263" s="25"/>
      <c r="C263" s="19"/>
    </row>
    <row r="264">
      <c r="B264" s="25"/>
      <c r="C264" s="19"/>
    </row>
    <row r="265">
      <c r="B265" s="25"/>
      <c r="C265" s="19"/>
    </row>
    <row r="266">
      <c r="B266" s="25"/>
      <c r="C266" s="19"/>
    </row>
    <row r="267">
      <c r="B267" s="25"/>
      <c r="C267" s="19"/>
    </row>
    <row r="268">
      <c r="B268" s="25"/>
      <c r="C268" s="19"/>
    </row>
    <row r="269">
      <c r="B269" s="25"/>
      <c r="C269" s="19"/>
    </row>
    <row r="270">
      <c r="B270" s="25"/>
      <c r="C270" s="19"/>
    </row>
    <row r="271">
      <c r="B271" s="25"/>
      <c r="C271" s="19"/>
    </row>
    <row r="272">
      <c r="B272" s="25"/>
      <c r="C272" s="19"/>
    </row>
    <row r="273">
      <c r="B273" s="25"/>
      <c r="C273" s="19"/>
    </row>
    <row r="274">
      <c r="B274" s="25"/>
      <c r="C274" s="19"/>
    </row>
    <row r="275">
      <c r="B275" s="25"/>
      <c r="C275" s="19"/>
    </row>
    <row r="276">
      <c r="B276" s="25"/>
      <c r="C276" s="19"/>
    </row>
    <row r="277">
      <c r="B277" s="25"/>
      <c r="C277" s="19"/>
    </row>
    <row r="278">
      <c r="B278" s="25"/>
      <c r="C278" s="19"/>
    </row>
    <row r="279">
      <c r="B279" s="25"/>
      <c r="C279" s="19"/>
    </row>
    <row r="280">
      <c r="B280" s="25"/>
      <c r="C280" s="19"/>
    </row>
    <row r="281">
      <c r="B281" s="25"/>
      <c r="C281" s="19"/>
    </row>
    <row r="282">
      <c r="B282" s="25"/>
      <c r="C282" s="19"/>
    </row>
    <row r="283">
      <c r="B283" s="25"/>
      <c r="C283" s="19"/>
    </row>
    <row r="284">
      <c r="B284" s="25"/>
      <c r="C284" s="19"/>
    </row>
    <row r="285">
      <c r="B285" s="25"/>
      <c r="C285" s="19"/>
    </row>
    <row r="286">
      <c r="B286" s="25"/>
      <c r="C286" s="19"/>
    </row>
    <row r="287">
      <c r="B287" s="25"/>
      <c r="C287" s="19"/>
    </row>
    <row r="288">
      <c r="B288" s="25"/>
      <c r="C288" s="19"/>
    </row>
    <row r="289">
      <c r="B289" s="25"/>
      <c r="C289" s="19"/>
    </row>
    <row r="290">
      <c r="B290" s="25"/>
      <c r="C290" s="19"/>
    </row>
    <row r="291">
      <c r="B291" s="25"/>
      <c r="C291" s="19"/>
    </row>
    <row r="292">
      <c r="B292" s="25"/>
      <c r="C292" s="19"/>
    </row>
    <row r="293">
      <c r="B293" s="25"/>
      <c r="C293" s="19"/>
    </row>
    <row r="294">
      <c r="B294" s="25"/>
      <c r="C294" s="19"/>
    </row>
    <row r="295">
      <c r="B295" s="25"/>
      <c r="C295" s="19"/>
    </row>
    <row r="296">
      <c r="B296" s="25"/>
      <c r="C296" s="19"/>
    </row>
    <row r="297">
      <c r="B297" s="25"/>
      <c r="C297" s="19"/>
    </row>
    <row r="298">
      <c r="B298" s="25"/>
      <c r="C298" s="19"/>
    </row>
    <row r="299">
      <c r="B299" s="25"/>
      <c r="C299" s="19"/>
    </row>
    <row r="300">
      <c r="B300" s="25"/>
      <c r="C300" s="19"/>
    </row>
    <row r="301">
      <c r="B301" s="25"/>
      <c r="C301" s="19"/>
    </row>
    <row r="302">
      <c r="B302" s="25"/>
      <c r="C302" s="19"/>
    </row>
    <row r="303">
      <c r="B303" s="25"/>
      <c r="C303" s="19"/>
    </row>
    <row r="304">
      <c r="B304" s="25"/>
      <c r="C304" s="19"/>
    </row>
    <row r="305">
      <c r="B305" s="25"/>
      <c r="C305" s="19"/>
    </row>
    <row r="306">
      <c r="B306" s="25"/>
      <c r="C306" s="19"/>
    </row>
    <row r="307">
      <c r="B307" s="25"/>
      <c r="C307" s="19"/>
    </row>
    <row r="308">
      <c r="B308" s="25"/>
      <c r="C308" s="19"/>
    </row>
    <row r="309">
      <c r="B309" s="25"/>
      <c r="C309" s="19"/>
    </row>
    <row r="310">
      <c r="B310" s="25"/>
      <c r="C310" s="19"/>
    </row>
    <row r="311">
      <c r="B311" s="25"/>
      <c r="C311" s="19"/>
    </row>
    <row r="312">
      <c r="B312" s="25"/>
      <c r="C312" s="19"/>
    </row>
    <row r="313">
      <c r="B313" s="25"/>
      <c r="C313" s="19"/>
    </row>
    <row r="314">
      <c r="B314" s="25"/>
      <c r="C314" s="19"/>
    </row>
    <row r="315">
      <c r="B315" s="25"/>
      <c r="C315" s="19"/>
    </row>
    <row r="316">
      <c r="B316" s="25"/>
      <c r="C316" s="19"/>
    </row>
    <row r="317">
      <c r="B317" s="25"/>
      <c r="C317" s="19"/>
    </row>
    <row r="318">
      <c r="B318" s="25"/>
      <c r="C318" s="19"/>
    </row>
    <row r="319">
      <c r="B319" s="25"/>
      <c r="C319" s="19"/>
    </row>
    <row r="320">
      <c r="B320" s="25"/>
      <c r="C320" s="19"/>
    </row>
    <row r="321">
      <c r="B321" s="25"/>
      <c r="C321" s="19"/>
    </row>
    <row r="322">
      <c r="B322" s="25"/>
      <c r="C322" s="19"/>
    </row>
    <row r="323">
      <c r="B323" s="25"/>
      <c r="C323" s="19"/>
    </row>
    <row r="324">
      <c r="B324" s="25"/>
      <c r="C324" s="19"/>
    </row>
    <row r="325">
      <c r="B325" s="25"/>
      <c r="C325" s="19"/>
    </row>
    <row r="326">
      <c r="B326" s="25"/>
      <c r="C326" s="19"/>
    </row>
    <row r="327">
      <c r="B327" s="25"/>
      <c r="C327" s="19"/>
    </row>
    <row r="328">
      <c r="B328" s="25"/>
      <c r="C328" s="19"/>
    </row>
    <row r="329">
      <c r="B329" s="25"/>
      <c r="C329" s="19"/>
    </row>
    <row r="330">
      <c r="B330" s="25"/>
      <c r="C330" s="19"/>
    </row>
    <row r="331">
      <c r="B331" s="25"/>
      <c r="C331" s="19"/>
    </row>
    <row r="332">
      <c r="B332" s="25"/>
      <c r="C332" s="19"/>
    </row>
    <row r="333">
      <c r="B333" s="25"/>
      <c r="C333" s="19"/>
    </row>
    <row r="334">
      <c r="B334" s="25"/>
      <c r="C334" s="19"/>
    </row>
    <row r="335">
      <c r="B335" s="25"/>
      <c r="C335" s="19"/>
    </row>
    <row r="336">
      <c r="B336" s="25"/>
      <c r="C336" s="19"/>
    </row>
    <row r="337">
      <c r="B337" s="25"/>
      <c r="C337" s="19"/>
    </row>
    <row r="338">
      <c r="B338" s="25"/>
      <c r="C338" s="19"/>
    </row>
    <row r="339">
      <c r="B339" s="25"/>
      <c r="C339" s="19"/>
    </row>
    <row r="340">
      <c r="B340" s="25"/>
      <c r="C340" s="19"/>
    </row>
    <row r="341">
      <c r="B341" s="25"/>
      <c r="C341" s="19"/>
    </row>
    <row r="342">
      <c r="B342" s="25"/>
      <c r="C342" s="19"/>
    </row>
    <row r="343">
      <c r="B343" s="25"/>
      <c r="C343" s="19"/>
    </row>
    <row r="344">
      <c r="B344" s="25"/>
      <c r="C344" s="19"/>
    </row>
    <row r="345">
      <c r="B345" s="25"/>
      <c r="C345" s="19"/>
    </row>
    <row r="346">
      <c r="B346" s="25"/>
      <c r="C346" s="19"/>
    </row>
    <row r="347">
      <c r="B347" s="25"/>
      <c r="C347" s="19"/>
    </row>
    <row r="348">
      <c r="B348" s="25"/>
      <c r="C348" s="19"/>
    </row>
    <row r="349">
      <c r="B349" s="25"/>
      <c r="C349" s="19"/>
    </row>
    <row r="350">
      <c r="B350" s="25"/>
      <c r="C350" s="19"/>
    </row>
    <row r="351">
      <c r="B351" s="25"/>
      <c r="C351" s="19"/>
    </row>
    <row r="352">
      <c r="B352" s="25"/>
      <c r="C352" s="19"/>
    </row>
    <row r="353">
      <c r="B353" s="25"/>
      <c r="C353" s="19"/>
    </row>
    <row r="354">
      <c r="B354" s="25"/>
      <c r="C354" s="19"/>
    </row>
    <row r="355">
      <c r="B355" s="25"/>
      <c r="C355" s="19"/>
    </row>
    <row r="356">
      <c r="B356" s="25"/>
      <c r="C356" s="19"/>
    </row>
    <row r="357">
      <c r="B357" s="25"/>
      <c r="C357" s="19"/>
    </row>
    <row r="358">
      <c r="B358" s="25"/>
      <c r="C358" s="19"/>
    </row>
    <row r="359">
      <c r="B359" s="25"/>
      <c r="C359" s="19"/>
    </row>
    <row r="360">
      <c r="B360" s="25"/>
      <c r="C360" s="19"/>
    </row>
    <row r="361">
      <c r="B361" s="25"/>
      <c r="C361" s="19"/>
    </row>
    <row r="362">
      <c r="B362" s="25"/>
      <c r="C362" s="19"/>
    </row>
    <row r="363">
      <c r="B363" s="25"/>
      <c r="C363" s="19"/>
    </row>
    <row r="364">
      <c r="B364" s="25"/>
      <c r="C364" s="19"/>
    </row>
    <row r="365">
      <c r="B365" s="25"/>
      <c r="C365" s="19"/>
    </row>
    <row r="366">
      <c r="B366" s="25"/>
      <c r="C366" s="19"/>
    </row>
    <row r="367">
      <c r="B367" s="25"/>
      <c r="C367" s="19"/>
    </row>
    <row r="368">
      <c r="B368" s="25"/>
      <c r="C368" s="19"/>
    </row>
    <row r="369">
      <c r="B369" s="25"/>
      <c r="C369" s="19"/>
    </row>
    <row r="370">
      <c r="B370" s="25"/>
      <c r="C370" s="19"/>
    </row>
    <row r="371">
      <c r="B371" s="25"/>
      <c r="C371" s="19"/>
    </row>
    <row r="372">
      <c r="B372" s="25"/>
      <c r="C372" s="19"/>
    </row>
    <row r="373">
      <c r="B373" s="25"/>
      <c r="C373" s="19"/>
    </row>
    <row r="374">
      <c r="B374" s="25"/>
      <c r="C374" s="19"/>
    </row>
    <row r="375">
      <c r="B375" s="25"/>
      <c r="C375" s="19"/>
    </row>
    <row r="376">
      <c r="B376" s="25"/>
      <c r="C376" s="19"/>
    </row>
    <row r="377">
      <c r="B377" s="25"/>
      <c r="C377" s="19"/>
    </row>
    <row r="378">
      <c r="B378" s="25"/>
      <c r="C378" s="19"/>
    </row>
    <row r="379">
      <c r="B379" s="25"/>
      <c r="C379" s="19"/>
    </row>
    <row r="380">
      <c r="B380" s="25"/>
      <c r="C380" s="19"/>
    </row>
    <row r="381">
      <c r="B381" s="25"/>
      <c r="C381" s="19"/>
    </row>
    <row r="382">
      <c r="B382" s="25"/>
      <c r="C382" s="19"/>
    </row>
    <row r="383">
      <c r="B383" s="25"/>
      <c r="C383" s="19"/>
    </row>
    <row r="384">
      <c r="B384" s="25"/>
      <c r="C384" s="19"/>
    </row>
    <row r="385">
      <c r="B385" s="25"/>
      <c r="C385" s="19"/>
    </row>
    <row r="386">
      <c r="B386" s="25"/>
      <c r="C386" s="19"/>
    </row>
    <row r="387">
      <c r="B387" s="25"/>
      <c r="C387" s="19"/>
    </row>
    <row r="388">
      <c r="B388" s="25"/>
      <c r="C388" s="19"/>
    </row>
    <row r="389">
      <c r="B389" s="25"/>
      <c r="C389" s="19"/>
    </row>
    <row r="390">
      <c r="B390" s="25"/>
      <c r="C390" s="19"/>
    </row>
    <row r="391">
      <c r="B391" s="25"/>
      <c r="C391" s="19"/>
    </row>
    <row r="392">
      <c r="B392" s="25"/>
      <c r="C392" s="19"/>
    </row>
    <row r="393">
      <c r="B393" s="25"/>
      <c r="C393" s="19"/>
    </row>
    <row r="394">
      <c r="B394" s="25"/>
      <c r="C394" s="19"/>
    </row>
    <row r="395">
      <c r="B395" s="25"/>
      <c r="C395" s="19"/>
    </row>
    <row r="396">
      <c r="B396" s="25"/>
      <c r="C396" s="19"/>
    </row>
    <row r="397">
      <c r="B397" s="25"/>
      <c r="C397" s="19"/>
    </row>
    <row r="398">
      <c r="B398" s="25"/>
      <c r="C398" s="19"/>
    </row>
    <row r="399">
      <c r="B399" s="25"/>
      <c r="C399" s="19"/>
    </row>
    <row r="400">
      <c r="B400" s="25"/>
      <c r="C400" s="19"/>
    </row>
    <row r="401">
      <c r="B401" s="25"/>
      <c r="C401" s="19"/>
    </row>
    <row r="402">
      <c r="B402" s="25"/>
      <c r="C402" s="19"/>
    </row>
    <row r="403">
      <c r="B403" s="25"/>
      <c r="C403" s="19"/>
    </row>
    <row r="404">
      <c r="B404" s="25"/>
      <c r="C404" s="19"/>
    </row>
    <row r="405">
      <c r="B405" s="25"/>
      <c r="C405" s="19"/>
    </row>
    <row r="406">
      <c r="B406" s="25"/>
      <c r="C406" s="19"/>
    </row>
    <row r="407">
      <c r="B407" s="25"/>
      <c r="C407" s="19"/>
    </row>
    <row r="408">
      <c r="B408" s="25"/>
      <c r="C408" s="19"/>
    </row>
    <row r="409">
      <c r="B409" s="25"/>
      <c r="C409" s="19"/>
    </row>
    <row r="410">
      <c r="B410" s="25"/>
      <c r="C410" s="19"/>
    </row>
    <row r="411">
      <c r="B411" s="25"/>
      <c r="C411" s="19"/>
    </row>
    <row r="412">
      <c r="B412" s="25"/>
      <c r="C412" s="19"/>
    </row>
    <row r="413">
      <c r="B413" s="25"/>
      <c r="C413" s="19"/>
    </row>
    <row r="414">
      <c r="B414" s="25"/>
      <c r="C414" s="19"/>
    </row>
    <row r="415">
      <c r="B415" s="25"/>
      <c r="C415" s="19"/>
    </row>
    <row r="416">
      <c r="B416" s="25"/>
      <c r="C416" s="19"/>
    </row>
    <row r="417">
      <c r="B417" s="25"/>
      <c r="C417" s="19"/>
    </row>
    <row r="418">
      <c r="B418" s="25"/>
      <c r="C418" s="19"/>
    </row>
    <row r="419">
      <c r="B419" s="25"/>
      <c r="C419" s="19"/>
    </row>
    <row r="420">
      <c r="B420" s="25"/>
      <c r="C420" s="19"/>
    </row>
    <row r="421">
      <c r="B421" s="25"/>
      <c r="C421" s="19"/>
    </row>
    <row r="422">
      <c r="B422" s="25"/>
      <c r="C422" s="19"/>
    </row>
    <row r="423">
      <c r="B423" s="25"/>
      <c r="C423" s="19"/>
    </row>
    <row r="424">
      <c r="B424" s="25"/>
      <c r="C424" s="19"/>
    </row>
    <row r="425">
      <c r="B425" s="25"/>
      <c r="C425" s="19"/>
    </row>
    <row r="426">
      <c r="B426" s="25"/>
      <c r="C426" s="19"/>
    </row>
    <row r="427">
      <c r="B427" s="25"/>
      <c r="C427" s="19"/>
    </row>
    <row r="428">
      <c r="B428" s="25"/>
      <c r="C428" s="19"/>
    </row>
    <row r="429">
      <c r="B429" s="25"/>
      <c r="C429" s="19"/>
    </row>
    <row r="430">
      <c r="B430" s="25"/>
      <c r="C430" s="19"/>
    </row>
    <row r="431">
      <c r="B431" s="25"/>
      <c r="C431" s="19"/>
    </row>
    <row r="432">
      <c r="B432" s="25"/>
      <c r="C432" s="19"/>
    </row>
    <row r="433">
      <c r="B433" s="25"/>
      <c r="C433" s="19"/>
    </row>
    <row r="434">
      <c r="B434" s="25"/>
      <c r="C434" s="19"/>
    </row>
    <row r="435">
      <c r="B435" s="25"/>
      <c r="C435" s="19"/>
    </row>
    <row r="436">
      <c r="B436" s="25"/>
      <c r="C436" s="19"/>
    </row>
    <row r="437">
      <c r="B437" s="25"/>
      <c r="C437" s="19"/>
    </row>
    <row r="438">
      <c r="B438" s="25"/>
      <c r="C438" s="19"/>
    </row>
    <row r="439">
      <c r="B439" s="25"/>
      <c r="C439" s="19"/>
    </row>
    <row r="440">
      <c r="B440" s="25"/>
      <c r="C440" s="19"/>
    </row>
    <row r="441">
      <c r="B441" s="25"/>
      <c r="C441" s="19"/>
    </row>
    <row r="442">
      <c r="B442" s="25"/>
      <c r="C442" s="19"/>
    </row>
    <row r="443">
      <c r="B443" s="25"/>
      <c r="C443" s="19"/>
    </row>
    <row r="444">
      <c r="B444" s="25"/>
      <c r="C444" s="19"/>
    </row>
    <row r="445">
      <c r="B445" s="25"/>
      <c r="C445" s="19"/>
    </row>
    <row r="446">
      <c r="B446" s="25"/>
      <c r="C446" s="19"/>
    </row>
    <row r="447">
      <c r="B447" s="25"/>
      <c r="C447" s="19"/>
    </row>
    <row r="448">
      <c r="B448" s="25"/>
      <c r="C448" s="19"/>
    </row>
    <row r="449">
      <c r="B449" s="25"/>
      <c r="C449" s="19"/>
    </row>
    <row r="450">
      <c r="B450" s="25"/>
      <c r="C450" s="19"/>
    </row>
    <row r="451">
      <c r="B451" s="25"/>
      <c r="C451" s="19"/>
    </row>
    <row r="452">
      <c r="B452" s="25"/>
      <c r="C452" s="19"/>
    </row>
    <row r="453">
      <c r="B453" s="25"/>
      <c r="C453" s="19"/>
    </row>
    <row r="454">
      <c r="B454" s="25"/>
      <c r="C454" s="19"/>
    </row>
    <row r="455">
      <c r="B455" s="25"/>
      <c r="C455" s="19"/>
    </row>
    <row r="456">
      <c r="B456" s="25"/>
      <c r="C456" s="19"/>
    </row>
    <row r="457">
      <c r="B457" s="25"/>
      <c r="C457" s="19"/>
    </row>
    <row r="458">
      <c r="B458" s="25"/>
      <c r="C458" s="19"/>
    </row>
    <row r="459">
      <c r="B459" s="25"/>
      <c r="C459" s="19"/>
    </row>
    <row r="460">
      <c r="B460" s="25"/>
      <c r="C460" s="19"/>
    </row>
    <row r="461">
      <c r="B461" s="25"/>
      <c r="C461" s="19"/>
    </row>
    <row r="462">
      <c r="B462" s="25"/>
      <c r="C462" s="19"/>
    </row>
    <row r="463">
      <c r="B463" s="25"/>
      <c r="C463" s="19"/>
    </row>
    <row r="464">
      <c r="B464" s="25"/>
      <c r="C464" s="19"/>
    </row>
    <row r="465">
      <c r="B465" s="25"/>
      <c r="C465" s="19"/>
    </row>
    <row r="466">
      <c r="B466" s="25"/>
      <c r="C466" s="19"/>
    </row>
    <row r="467">
      <c r="B467" s="25"/>
      <c r="C467" s="19"/>
    </row>
    <row r="468">
      <c r="B468" s="25"/>
      <c r="C468" s="19"/>
    </row>
    <row r="469">
      <c r="B469" s="25"/>
      <c r="C469" s="19"/>
    </row>
    <row r="470">
      <c r="B470" s="25"/>
      <c r="C470" s="19"/>
    </row>
    <row r="471">
      <c r="B471" s="25"/>
      <c r="C471" s="19"/>
    </row>
    <row r="472">
      <c r="B472" s="25"/>
      <c r="C472" s="19"/>
    </row>
    <row r="473">
      <c r="B473" s="25"/>
      <c r="C473" s="19"/>
    </row>
    <row r="474">
      <c r="B474" s="25"/>
      <c r="C474" s="19"/>
    </row>
    <row r="475">
      <c r="B475" s="25"/>
      <c r="C475" s="19"/>
    </row>
    <row r="476">
      <c r="B476" s="25"/>
      <c r="C476" s="19"/>
    </row>
    <row r="477">
      <c r="B477" s="25"/>
      <c r="C477" s="19"/>
    </row>
    <row r="478">
      <c r="B478" s="25"/>
      <c r="C478" s="19"/>
    </row>
    <row r="479">
      <c r="B479" s="25"/>
      <c r="C479" s="19"/>
    </row>
    <row r="480">
      <c r="B480" s="25"/>
      <c r="C480" s="19"/>
    </row>
    <row r="481">
      <c r="B481" s="25"/>
      <c r="C481" s="19"/>
    </row>
    <row r="482">
      <c r="B482" s="25"/>
      <c r="C482" s="19"/>
    </row>
    <row r="483">
      <c r="B483" s="25"/>
      <c r="C483" s="19"/>
    </row>
    <row r="484">
      <c r="B484" s="25"/>
      <c r="C484" s="19"/>
    </row>
    <row r="485">
      <c r="B485" s="25"/>
      <c r="C485" s="19"/>
    </row>
    <row r="486">
      <c r="B486" s="25"/>
      <c r="C486" s="19"/>
    </row>
    <row r="487">
      <c r="B487" s="25"/>
      <c r="C487" s="19"/>
    </row>
    <row r="488">
      <c r="B488" s="25"/>
      <c r="C488" s="19"/>
    </row>
    <row r="489">
      <c r="B489" s="25"/>
      <c r="C489" s="19"/>
    </row>
    <row r="490">
      <c r="B490" s="25"/>
      <c r="C490" s="19"/>
    </row>
    <row r="491">
      <c r="B491" s="25"/>
      <c r="C491" s="19"/>
    </row>
    <row r="492">
      <c r="B492" s="25"/>
      <c r="C492" s="19"/>
    </row>
    <row r="493">
      <c r="B493" s="25"/>
      <c r="C493" s="19"/>
    </row>
    <row r="494">
      <c r="B494" s="25"/>
      <c r="C494" s="19"/>
    </row>
    <row r="495">
      <c r="B495" s="25"/>
      <c r="C495" s="19"/>
    </row>
    <row r="496">
      <c r="B496" s="25"/>
      <c r="C496" s="19"/>
    </row>
    <row r="497">
      <c r="B497" s="25"/>
      <c r="C497" s="19"/>
    </row>
    <row r="498">
      <c r="B498" s="25"/>
      <c r="C498" s="19"/>
    </row>
    <row r="499">
      <c r="B499" s="25"/>
      <c r="C499" s="19"/>
    </row>
    <row r="500">
      <c r="B500" s="25"/>
      <c r="C500" s="19"/>
    </row>
    <row r="501">
      <c r="B501" s="25"/>
      <c r="C501" s="19"/>
    </row>
    <row r="502">
      <c r="B502" s="25"/>
      <c r="C502" s="19"/>
    </row>
    <row r="503">
      <c r="B503" s="25"/>
      <c r="C503" s="19"/>
    </row>
    <row r="504">
      <c r="B504" s="25"/>
      <c r="C504" s="19"/>
    </row>
    <row r="505">
      <c r="B505" s="25"/>
      <c r="C505" s="19"/>
    </row>
    <row r="506">
      <c r="B506" s="25"/>
      <c r="C506" s="19"/>
    </row>
    <row r="507">
      <c r="B507" s="25"/>
      <c r="C507" s="19"/>
    </row>
    <row r="508">
      <c r="B508" s="25"/>
      <c r="C508" s="19"/>
    </row>
    <row r="509">
      <c r="B509" s="25"/>
      <c r="C509" s="19"/>
    </row>
    <row r="510">
      <c r="B510" s="25"/>
      <c r="C510" s="19"/>
    </row>
    <row r="511">
      <c r="B511" s="25"/>
      <c r="C511" s="19"/>
    </row>
    <row r="512">
      <c r="B512" s="25"/>
      <c r="C512" s="19"/>
    </row>
    <row r="513">
      <c r="B513" s="25"/>
      <c r="C513" s="19"/>
    </row>
    <row r="514">
      <c r="B514" s="25"/>
      <c r="C514" s="19"/>
    </row>
    <row r="515">
      <c r="B515" s="25"/>
      <c r="C515" s="19"/>
    </row>
    <row r="516">
      <c r="B516" s="25"/>
      <c r="C516" s="19"/>
    </row>
    <row r="517">
      <c r="B517" s="25"/>
      <c r="C517" s="19"/>
    </row>
    <row r="518">
      <c r="B518" s="25"/>
      <c r="C518" s="19"/>
    </row>
    <row r="519">
      <c r="B519" s="25"/>
      <c r="C519" s="19"/>
    </row>
    <row r="520">
      <c r="B520" s="25"/>
      <c r="C520" s="19"/>
    </row>
    <row r="521">
      <c r="B521" s="25"/>
      <c r="C521" s="19"/>
    </row>
    <row r="522">
      <c r="B522" s="25"/>
      <c r="C522" s="19"/>
    </row>
    <row r="523">
      <c r="B523" s="25"/>
      <c r="C523" s="19"/>
    </row>
    <row r="524">
      <c r="B524" s="25"/>
      <c r="C524" s="19"/>
    </row>
    <row r="525">
      <c r="B525" s="25"/>
      <c r="C525" s="19"/>
    </row>
    <row r="526">
      <c r="B526" s="25"/>
      <c r="C526" s="19"/>
    </row>
    <row r="527">
      <c r="B527" s="25"/>
      <c r="C527" s="19"/>
    </row>
    <row r="528">
      <c r="B528" s="25"/>
      <c r="C528" s="19"/>
    </row>
    <row r="529">
      <c r="B529" s="25"/>
      <c r="C529" s="19"/>
    </row>
    <row r="530">
      <c r="B530" s="25"/>
      <c r="C530" s="19"/>
    </row>
    <row r="531">
      <c r="B531" s="25"/>
      <c r="C531" s="19"/>
    </row>
    <row r="532">
      <c r="B532" s="25"/>
      <c r="C532" s="19"/>
    </row>
    <row r="533">
      <c r="B533" s="25"/>
      <c r="C533" s="19"/>
    </row>
    <row r="534">
      <c r="B534" s="25"/>
      <c r="C534" s="19"/>
    </row>
    <row r="535">
      <c r="B535" s="25"/>
      <c r="C535" s="19"/>
    </row>
    <row r="536">
      <c r="B536" s="25"/>
      <c r="C536" s="19"/>
    </row>
    <row r="537">
      <c r="B537" s="25"/>
      <c r="C537" s="19"/>
    </row>
    <row r="538">
      <c r="B538" s="25"/>
      <c r="C538" s="19"/>
    </row>
    <row r="539">
      <c r="B539" s="25"/>
      <c r="C539" s="19"/>
    </row>
    <row r="540">
      <c r="B540" s="25"/>
      <c r="C540" s="19"/>
    </row>
    <row r="541">
      <c r="B541" s="25"/>
      <c r="C541" s="19"/>
    </row>
    <row r="542">
      <c r="B542" s="25"/>
      <c r="C542" s="19"/>
    </row>
    <row r="543">
      <c r="B543" s="25"/>
      <c r="C543" s="19"/>
    </row>
    <row r="544">
      <c r="B544" s="25"/>
      <c r="C544" s="19"/>
    </row>
    <row r="545">
      <c r="B545" s="25"/>
      <c r="C545" s="19"/>
    </row>
    <row r="546">
      <c r="B546" s="25"/>
      <c r="C546" s="19"/>
    </row>
    <row r="547">
      <c r="B547" s="25"/>
      <c r="C547" s="19"/>
    </row>
    <row r="548">
      <c r="B548" s="25"/>
      <c r="C548" s="19"/>
    </row>
    <row r="549">
      <c r="B549" s="25"/>
      <c r="C549" s="19"/>
    </row>
    <row r="550">
      <c r="B550" s="25"/>
      <c r="C550" s="19"/>
    </row>
    <row r="551">
      <c r="B551" s="25"/>
      <c r="C551" s="19"/>
    </row>
    <row r="552">
      <c r="B552" s="25"/>
      <c r="C552" s="19"/>
    </row>
    <row r="553">
      <c r="B553" s="25"/>
      <c r="C553" s="19"/>
    </row>
    <row r="554">
      <c r="B554" s="25"/>
      <c r="C554" s="19"/>
    </row>
    <row r="555">
      <c r="B555" s="25"/>
      <c r="C555" s="19"/>
    </row>
    <row r="556">
      <c r="B556" s="25"/>
      <c r="C556" s="19"/>
    </row>
    <row r="557">
      <c r="B557" s="25"/>
      <c r="C557" s="19"/>
    </row>
    <row r="558">
      <c r="B558" s="25"/>
      <c r="C558" s="19"/>
    </row>
    <row r="559">
      <c r="B559" s="25"/>
      <c r="C559" s="19"/>
    </row>
    <row r="560">
      <c r="B560" s="25"/>
      <c r="C560" s="19"/>
    </row>
    <row r="561">
      <c r="B561" s="25"/>
      <c r="C561" s="19"/>
    </row>
    <row r="562">
      <c r="B562" s="25"/>
      <c r="C562" s="19"/>
    </row>
    <row r="563">
      <c r="B563" s="25"/>
      <c r="C563" s="19"/>
    </row>
    <row r="564">
      <c r="B564" s="25"/>
      <c r="C564" s="19"/>
    </row>
    <row r="565">
      <c r="B565" s="25"/>
      <c r="C565" s="19"/>
    </row>
    <row r="566">
      <c r="B566" s="25"/>
      <c r="C566" s="19"/>
    </row>
    <row r="567">
      <c r="B567" s="25"/>
      <c r="C567" s="19"/>
    </row>
    <row r="568">
      <c r="B568" s="25"/>
      <c r="C568" s="19"/>
    </row>
    <row r="569">
      <c r="B569" s="25"/>
      <c r="C569" s="19"/>
    </row>
    <row r="570">
      <c r="B570" s="25"/>
      <c r="C570" s="19"/>
    </row>
    <row r="571">
      <c r="B571" s="25"/>
      <c r="C571" s="19"/>
    </row>
    <row r="572">
      <c r="B572" s="25"/>
      <c r="C572" s="19"/>
    </row>
    <row r="573">
      <c r="B573" s="25"/>
      <c r="C573" s="19"/>
    </row>
    <row r="574">
      <c r="B574" s="25"/>
      <c r="C574" s="19"/>
    </row>
    <row r="575">
      <c r="B575" s="25"/>
      <c r="C575" s="19"/>
    </row>
    <row r="576">
      <c r="B576" s="25"/>
      <c r="C576" s="19"/>
    </row>
    <row r="577">
      <c r="B577" s="25"/>
      <c r="C577" s="19"/>
    </row>
    <row r="578">
      <c r="B578" s="25"/>
      <c r="C578" s="19"/>
    </row>
    <row r="579">
      <c r="B579" s="25"/>
      <c r="C579" s="19"/>
    </row>
    <row r="580">
      <c r="B580" s="25"/>
      <c r="C580" s="19"/>
    </row>
    <row r="581">
      <c r="B581" s="25"/>
      <c r="C581" s="19"/>
    </row>
    <row r="582">
      <c r="B582" s="25"/>
      <c r="C582" s="19"/>
    </row>
    <row r="583">
      <c r="B583" s="25"/>
      <c r="C583" s="19"/>
    </row>
    <row r="584">
      <c r="B584" s="25"/>
      <c r="C584" s="19"/>
    </row>
    <row r="585">
      <c r="B585" s="25"/>
      <c r="C585" s="19"/>
    </row>
    <row r="586">
      <c r="B586" s="25"/>
      <c r="C586" s="19"/>
    </row>
    <row r="587">
      <c r="B587" s="25"/>
      <c r="C587" s="19"/>
    </row>
    <row r="588">
      <c r="B588" s="25"/>
      <c r="C588" s="19"/>
    </row>
    <row r="589">
      <c r="B589" s="25"/>
      <c r="C589" s="19"/>
    </row>
    <row r="590">
      <c r="B590" s="25"/>
      <c r="C590" s="19"/>
    </row>
    <row r="591">
      <c r="B591" s="25"/>
      <c r="C591" s="19"/>
    </row>
    <row r="592">
      <c r="B592" s="25"/>
      <c r="C592" s="19"/>
    </row>
    <row r="593">
      <c r="B593" s="25"/>
      <c r="C593" s="19"/>
    </row>
    <row r="594">
      <c r="B594" s="25"/>
      <c r="C594" s="19"/>
    </row>
    <row r="595">
      <c r="B595" s="25"/>
      <c r="C595" s="19"/>
    </row>
    <row r="596">
      <c r="B596" s="25"/>
      <c r="C596" s="19"/>
    </row>
    <row r="597">
      <c r="B597" s="25"/>
      <c r="C597" s="19"/>
    </row>
    <row r="598">
      <c r="B598" s="25"/>
      <c r="C598" s="19"/>
    </row>
    <row r="599">
      <c r="B599" s="25"/>
      <c r="C599" s="19"/>
    </row>
    <row r="600">
      <c r="B600" s="25"/>
      <c r="C600" s="19"/>
    </row>
    <row r="601">
      <c r="B601" s="25"/>
      <c r="C601" s="19"/>
    </row>
    <row r="602">
      <c r="B602" s="25"/>
      <c r="C602" s="19"/>
    </row>
    <row r="603">
      <c r="B603" s="25"/>
      <c r="C603" s="19"/>
    </row>
    <row r="604">
      <c r="B604" s="25"/>
      <c r="C604" s="19"/>
    </row>
    <row r="605">
      <c r="B605" s="25"/>
      <c r="C605" s="19"/>
    </row>
    <row r="606">
      <c r="B606" s="25"/>
      <c r="C606" s="19"/>
    </row>
    <row r="607">
      <c r="B607" s="25"/>
      <c r="C607" s="19"/>
    </row>
    <row r="608">
      <c r="B608" s="25"/>
      <c r="C608" s="19"/>
    </row>
    <row r="609">
      <c r="B609" s="25"/>
      <c r="C609" s="19"/>
    </row>
    <row r="610">
      <c r="B610" s="25"/>
      <c r="C610" s="19"/>
    </row>
    <row r="611">
      <c r="B611" s="25"/>
      <c r="C611" s="19"/>
    </row>
    <row r="612">
      <c r="B612" s="25"/>
      <c r="C612" s="19"/>
    </row>
    <row r="613">
      <c r="B613" s="25"/>
      <c r="C613" s="19"/>
    </row>
    <row r="614">
      <c r="B614" s="25"/>
      <c r="C614" s="19"/>
    </row>
    <row r="615">
      <c r="B615" s="25"/>
      <c r="C615" s="19"/>
    </row>
    <row r="616">
      <c r="B616" s="25"/>
      <c r="C616" s="19"/>
    </row>
    <row r="617">
      <c r="B617" s="25"/>
      <c r="C617" s="19"/>
    </row>
    <row r="618">
      <c r="B618" s="25"/>
      <c r="C618" s="19"/>
    </row>
    <row r="619">
      <c r="B619" s="25"/>
      <c r="C619" s="19"/>
    </row>
    <row r="620">
      <c r="B620" s="25"/>
      <c r="C620" s="19"/>
    </row>
    <row r="621">
      <c r="B621" s="25"/>
      <c r="C621" s="19"/>
    </row>
    <row r="622">
      <c r="B622" s="25"/>
      <c r="C622" s="19"/>
    </row>
    <row r="623">
      <c r="B623" s="25"/>
      <c r="C623" s="19"/>
    </row>
    <row r="624">
      <c r="B624" s="25"/>
      <c r="C624" s="19"/>
    </row>
    <row r="625">
      <c r="B625" s="25"/>
      <c r="C625" s="19"/>
    </row>
    <row r="626">
      <c r="B626" s="25"/>
      <c r="C626" s="19"/>
    </row>
    <row r="627">
      <c r="B627" s="25"/>
      <c r="C627" s="19"/>
    </row>
    <row r="628">
      <c r="B628" s="25"/>
      <c r="C628" s="19"/>
    </row>
    <row r="629">
      <c r="B629" s="25"/>
      <c r="C629" s="19"/>
    </row>
    <row r="630">
      <c r="B630" s="25"/>
      <c r="C630" s="19"/>
    </row>
    <row r="631">
      <c r="B631" s="25"/>
      <c r="C631" s="19"/>
    </row>
    <row r="632">
      <c r="B632" s="25"/>
      <c r="C632" s="19"/>
    </row>
    <row r="633">
      <c r="B633" s="25"/>
      <c r="C633" s="19"/>
    </row>
    <row r="634">
      <c r="B634" s="25"/>
      <c r="C634" s="19"/>
    </row>
    <row r="635">
      <c r="B635" s="25"/>
      <c r="C635" s="19"/>
    </row>
    <row r="636">
      <c r="B636" s="25"/>
      <c r="C636" s="19"/>
    </row>
    <row r="637">
      <c r="B637" s="25"/>
      <c r="C637" s="19"/>
    </row>
    <row r="638">
      <c r="B638" s="25"/>
      <c r="C638" s="19"/>
    </row>
    <row r="639">
      <c r="B639" s="25"/>
      <c r="C639" s="19"/>
    </row>
    <row r="640">
      <c r="B640" s="25"/>
      <c r="C640" s="19"/>
    </row>
    <row r="641">
      <c r="B641" s="25"/>
      <c r="C641" s="19"/>
    </row>
    <row r="642">
      <c r="B642" s="25"/>
      <c r="C642" s="19"/>
    </row>
    <row r="643">
      <c r="B643" s="25"/>
      <c r="C643" s="19"/>
    </row>
    <row r="644">
      <c r="B644" s="25"/>
      <c r="C644" s="19"/>
    </row>
    <row r="645">
      <c r="B645" s="25"/>
      <c r="C645" s="19"/>
    </row>
    <row r="646">
      <c r="B646" s="25"/>
      <c r="C646" s="19"/>
    </row>
    <row r="647">
      <c r="B647" s="25"/>
      <c r="C647" s="19"/>
    </row>
    <row r="648">
      <c r="B648" s="25"/>
      <c r="C648" s="19"/>
    </row>
    <row r="649">
      <c r="B649" s="25"/>
      <c r="C649" s="19"/>
    </row>
    <row r="650">
      <c r="B650" s="25"/>
      <c r="C650" s="19"/>
    </row>
    <row r="651">
      <c r="B651" s="25"/>
      <c r="C651" s="19"/>
    </row>
    <row r="652">
      <c r="B652" s="25"/>
      <c r="C652" s="19"/>
    </row>
    <row r="653">
      <c r="B653" s="25"/>
      <c r="C653" s="19"/>
    </row>
    <row r="654">
      <c r="B654" s="25"/>
      <c r="C654" s="19"/>
    </row>
    <row r="655">
      <c r="B655" s="25"/>
      <c r="C655" s="19"/>
    </row>
    <row r="656">
      <c r="B656" s="25"/>
      <c r="C656" s="19"/>
    </row>
    <row r="657">
      <c r="B657" s="25"/>
      <c r="C657" s="19"/>
    </row>
    <row r="658">
      <c r="B658" s="25"/>
      <c r="C658" s="19"/>
    </row>
    <row r="659">
      <c r="B659" s="25"/>
      <c r="C659" s="19"/>
    </row>
    <row r="660">
      <c r="B660" s="25"/>
      <c r="C660" s="19"/>
    </row>
    <row r="661">
      <c r="B661" s="25"/>
      <c r="C661" s="19"/>
    </row>
    <row r="662">
      <c r="B662" s="25"/>
      <c r="C662" s="19"/>
    </row>
    <row r="663">
      <c r="B663" s="25"/>
      <c r="C663" s="19"/>
    </row>
    <row r="664">
      <c r="B664" s="25"/>
      <c r="C664" s="19"/>
    </row>
    <row r="665">
      <c r="B665" s="25"/>
      <c r="C665" s="19"/>
    </row>
    <row r="666">
      <c r="B666" s="25"/>
      <c r="C666" s="19"/>
    </row>
    <row r="667">
      <c r="B667" s="25"/>
      <c r="C667" s="19"/>
    </row>
    <row r="668">
      <c r="B668" s="25"/>
      <c r="C668" s="19"/>
    </row>
    <row r="669">
      <c r="B669" s="25"/>
      <c r="C669" s="19"/>
    </row>
    <row r="670">
      <c r="B670" s="25"/>
      <c r="C670" s="19"/>
    </row>
    <row r="671">
      <c r="B671" s="25"/>
      <c r="C671" s="19"/>
    </row>
    <row r="672">
      <c r="B672" s="25"/>
      <c r="C672" s="19"/>
    </row>
    <row r="673">
      <c r="B673" s="25"/>
      <c r="C673" s="19"/>
    </row>
    <row r="674">
      <c r="B674" s="25"/>
      <c r="C674" s="19"/>
    </row>
    <row r="675">
      <c r="B675" s="25"/>
      <c r="C675" s="19"/>
    </row>
    <row r="676">
      <c r="B676" s="25"/>
      <c r="C676" s="19"/>
    </row>
    <row r="677">
      <c r="B677" s="25"/>
      <c r="C677" s="19"/>
    </row>
    <row r="678">
      <c r="B678" s="25"/>
      <c r="C678" s="19"/>
    </row>
    <row r="679">
      <c r="B679" s="25"/>
      <c r="C679" s="19"/>
    </row>
    <row r="680">
      <c r="B680" s="25"/>
      <c r="C680" s="19"/>
    </row>
    <row r="681">
      <c r="B681" s="25"/>
      <c r="C681" s="19"/>
    </row>
    <row r="682">
      <c r="B682" s="25"/>
      <c r="C682" s="19"/>
    </row>
    <row r="683">
      <c r="B683" s="25"/>
      <c r="C683" s="19"/>
    </row>
    <row r="684">
      <c r="B684" s="25"/>
      <c r="C684" s="19"/>
    </row>
    <row r="685">
      <c r="B685" s="25"/>
      <c r="C685" s="19"/>
    </row>
    <row r="686">
      <c r="B686" s="25"/>
      <c r="C686" s="19"/>
    </row>
    <row r="687">
      <c r="B687" s="25"/>
      <c r="C687" s="19"/>
    </row>
    <row r="688">
      <c r="B688" s="25"/>
      <c r="C688" s="19"/>
    </row>
    <row r="689">
      <c r="B689" s="25"/>
      <c r="C689" s="19"/>
    </row>
    <row r="690">
      <c r="B690" s="25"/>
      <c r="C690" s="19"/>
    </row>
    <row r="691">
      <c r="B691" s="25"/>
      <c r="C691" s="19"/>
    </row>
    <row r="692">
      <c r="B692" s="25"/>
      <c r="C692" s="19"/>
    </row>
    <row r="693">
      <c r="B693" s="25"/>
      <c r="C693" s="19"/>
    </row>
    <row r="694">
      <c r="B694" s="25"/>
      <c r="C694" s="19"/>
    </row>
    <row r="695">
      <c r="B695" s="25"/>
      <c r="C695" s="19"/>
    </row>
    <row r="696">
      <c r="B696" s="25"/>
      <c r="C696" s="19"/>
    </row>
    <row r="697">
      <c r="B697" s="25"/>
      <c r="C697" s="19"/>
    </row>
    <row r="698">
      <c r="B698" s="25"/>
      <c r="C698" s="19"/>
    </row>
    <row r="699">
      <c r="B699" s="25"/>
      <c r="C699" s="19"/>
    </row>
    <row r="700">
      <c r="B700" s="25"/>
      <c r="C700" s="19"/>
    </row>
    <row r="701">
      <c r="B701" s="25"/>
      <c r="C701" s="19"/>
    </row>
    <row r="702">
      <c r="B702" s="25"/>
      <c r="C702" s="19"/>
    </row>
    <row r="703">
      <c r="B703" s="25"/>
      <c r="C703" s="19"/>
    </row>
    <row r="704">
      <c r="B704" s="25"/>
      <c r="C704" s="19"/>
    </row>
    <row r="705">
      <c r="B705" s="25"/>
      <c r="C705" s="19"/>
    </row>
    <row r="706">
      <c r="B706" s="25"/>
      <c r="C706" s="19"/>
    </row>
    <row r="707">
      <c r="B707" s="25"/>
      <c r="C707" s="19"/>
    </row>
    <row r="708">
      <c r="B708" s="25"/>
      <c r="C708" s="19"/>
    </row>
    <row r="709">
      <c r="B709" s="25"/>
      <c r="C709" s="19"/>
    </row>
    <row r="710">
      <c r="B710" s="25"/>
      <c r="C710" s="19"/>
    </row>
    <row r="711">
      <c r="B711" s="25"/>
      <c r="C711" s="19"/>
    </row>
    <row r="712">
      <c r="B712" s="25"/>
      <c r="C712" s="19"/>
    </row>
    <row r="713">
      <c r="B713" s="25"/>
      <c r="C713" s="19"/>
    </row>
    <row r="714">
      <c r="B714" s="25"/>
      <c r="C714" s="19"/>
    </row>
    <row r="715">
      <c r="B715" s="25"/>
      <c r="C715" s="19"/>
    </row>
    <row r="716">
      <c r="B716" s="25"/>
      <c r="C716" s="19"/>
    </row>
    <row r="717">
      <c r="B717" s="25"/>
      <c r="C717" s="19"/>
    </row>
    <row r="718">
      <c r="B718" s="25"/>
      <c r="C718" s="19"/>
    </row>
    <row r="719">
      <c r="B719" s="25"/>
      <c r="C719" s="19"/>
    </row>
    <row r="720">
      <c r="B720" s="25"/>
      <c r="C720" s="19"/>
    </row>
    <row r="721">
      <c r="B721" s="25"/>
      <c r="C721" s="19"/>
    </row>
    <row r="722">
      <c r="B722" s="25"/>
      <c r="C722" s="19"/>
    </row>
    <row r="723">
      <c r="B723" s="25"/>
      <c r="C723" s="19"/>
    </row>
    <row r="724">
      <c r="B724" s="25"/>
      <c r="C724" s="19"/>
    </row>
    <row r="725">
      <c r="B725" s="25"/>
      <c r="C725" s="19"/>
    </row>
    <row r="726">
      <c r="B726" s="25"/>
      <c r="C726" s="19"/>
    </row>
    <row r="727">
      <c r="B727" s="25"/>
      <c r="C727" s="19"/>
    </row>
    <row r="728">
      <c r="B728" s="25"/>
      <c r="C728" s="19"/>
    </row>
    <row r="729">
      <c r="B729" s="25"/>
      <c r="C729" s="19"/>
    </row>
    <row r="730">
      <c r="B730" s="25"/>
      <c r="C730" s="19"/>
    </row>
    <row r="731">
      <c r="B731" s="25"/>
      <c r="C731" s="19"/>
    </row>
    <row r="732">
      <c r="B732" s="25"/>
      <c r="C732" s="19"/>
    </row>
    <row r="733">
      <c r="B733" s="25"/>
      <c r="C733" s="19"/>
    </row>
    <row r="734">
      <c r="B734" s="25"/>
      <c r="C734" s="19"/>
    </row>
    <row r="735">
      <c r="B735" s="25"/>
      <c r="C735" s="19"/>
    </row>
    <row r="736">
      <c r="B736" s="25"/>
      <c r="C736" s="19"/>
    </row>
    <row r="737">
      <c r="B737" s="25"/>
      <c r="C737" s="19"/>
    </row>
    <row r="738">
      <c r="B738" s="25"/>
      <c r="C738" s="19"/>
    </row>
    <row r="739">
      <c r="B739" s="25"/>
      <c r="C739" s="19"/>
    </row>
    <row r="740">
      <c r="B740" s="25"/>
      <c r="C740" s="19"/>
    </row>
    <row r="741">
      <c r="B741" s="25"/>
      <c r="C741" s="19"/>
    </row>
    <row r="742">
      <c r="B742" s="25"/>
      <c r="C742" s="19"/>
    </row>
    <row r="743">
      <c r="B743" s="25"/>
      <c r="C743" s="19"/>
    </row>
    <row r="744">
      <c r="B744" s="25"/>
      <c r="C744" s="19"/>
    </row>
    <row r="745">
      <c r="B745" s="25"/>
      <c r="C745" s="19"/>
    </row>
    <row r="746">
      <c r="B746" s="25"/>
      <c r="C746" s="19"/>
    </row>
    <row r="747">
      <c r="B747" s="25"/>
      <c r="C747" s="19"/>
    </row>
    <row r="748">
      <c r="B748" s="25"/>
      <c r="C748" s="19"/>
    </row>
    <row r="749">
      <c r="B749" s="25"/>
      <c r="C749" s="19"/>
    </row>
    <row r="750">
      <c r="B750" s="25"/>
      <c r="C750" s="19"/>
    </row>
    <row r="751">
      <c r="B751" s="25"/>
      <c r="C751" s="19"/>
    </row>
    <row r="752">
      <c r="B752" s="25"/>
      <c r="C752" s="19"/>
    </row>
    <row r="753">
      <c r="B753" s="25"/>
      <c r="C753" s="19"/>
    </row>
    <row r="754">
      <c r="B754" s="25"/>
      <c r="C754" s="19"/>
    </row>
    <row r="755">
      <c r="B755" s="25"/>
      <c r="C755" s="19"/>
    </row>
    <row r="756">
      <c r="B756" s="25"/>
      <c r="C756" s="19"/>
    </row>
    <row r="757">
      <c r="B757" s="25"/>
      <c r="C757" s="19"/>
    </row>
    <row r="758">
      <c r="B758" s="25"/>
      <c r="C758" s="19"/>
    </row>
    <row r="759">
      <c r="B759" s="25"/>
      <c r="C759" s="19"/>
    </row>
    <row r="760">
      <c r="B760" s="25"/>
      <c r="C760" s="19"/>
    </row>
    <row r="761">
      <c r="B761" s="25"/>
      <c r="C761" s="19"/>
    </row>
    <row r="762">
      <c r="B762" s="25"/>
      <c r="C762" s="19"/>
    </row>
    <row r="763">
      <c r="B763" s="25"/>
      <c r="C763" s="19"/>
    </row>
    <row r="764">
      <c r="B764" s="25"/>
      <c r="C764" s="19"/>
    </row>
    <row r="765">
      <c r="B765" s="25"/>
      <c r="C765" s="19"/>
    </row>
    <row r="766">
      <c r="B766" s="25"/>
      <c r="C766" s="19"/>
    </row>
    <row r="767">
      <c r="B767" s="25"/>
      <c r="C767" s="19"/>
    </row>
    <row r="768">
      <c r="B768" s="25"/>
      <c r="C768" s="19"/>
    </row>
    <row r="769">
      <c r="B769" s="25"/>
      <c r="C769" s="19"/>
    </row>
    <row r="770">
      <c r="B770" s="25"/>
      <c r="C770" s="19"/>
    </row>
    <row r="771">
      <c r="B771" s="25"/>
      <c r="C771" s="19"/>
    </row>
    <row r="772">
      <c r="B772" s="25"/>
      <c r="C772" s="19"/>
    </row>
    <row r="773">
      <c r="B773" s="25"/>
      <c r="C773" s="19"/>
    </row>
    <row r="774">
      <c r="B774" s="25"/>
      <c r="C774" s="19"/>
    </row>
    <row r="775">
      <c r="B775" s="25"/>
      <c r="C775" s="19"/>
    </row>
    <row r="776">
      <c r="B776" s="25"/>
      <c r="C776" s="19"/>
    </row>
    <row r="777">
      <c r="B777" s="25"/>
      <c r="C777" s="19"/>
    </row>
    <row r="778">
      <c r="B778" s="25"/>
      <c r="C778" s="19"/>
    </row>
    <row r="779">
      <c r="B779" s="25"/>
      <c r="C779" s="19"/>
    </row>
    <row r="780">
      <c r="B780" s="25"/>
      <c r="C780" s="19"/>
    </row>
    <row r="781">
      <c r="B781" s="25"/>
      <c r="C781" s="19"/>
    </row>
    <row r="782">
      <c r="B782" s="25"/>
      <c r="C782" s="19"/>
    </row>
    <row r="783">
      <c r="B783" s="25"/>
      <c r="C783" s="19"/>
    </row>
    <row r="784">
      <c r="B784" s="25"/>
      <c r="C784" s="19"/>
    </row>
    <row r="785">
      <c r="B785" s="25"/>
      <c r="C785" s="19"/>
    </row>
    <row r="786">
      <c r="B786" s="25"/>
      <c r="C786" s="19"/>
    </row>
    <row r="787">
      <c r="B787" s="25"/>
      <c r="C787" s="19"/>
    </row>
    <row r="788">
      <c r="B788" s="25"/>
      <c r="C788" s="19"/>
    </row>
    <row r="789">
      <c r="B789" s="25"/>
      <c r="C789" s="19"/>
    </row>
    <row r="790">
      <c r="B790" s="25"/>
      <c r="C790" s="19"/>
    </row>
    <row r="791">
      <c r="B791" s="25"/>
      <c r="C791" s="19"/>
    </row>
    <row r="792">
      <c r="B792" s="25"/>
      <c r="C792" s="19"/>
    </row>
    <row r="793">
      <c r="B793" s="25"/>
      <c r="C793" s="19"/>
    </row>
    <row r="794">
      <c r="B794" s="25"/>
      <c r="C794" s="19"/>
    </row>
    <row r="795">
      <c r="B795" s="25"/>
      <c r="C795" s="19"/>
    </row>
    <row r="796">
      <c r="B796" s="25"/>
      <c r="C796" s="19"/>
    </row>
    <row r="797">
      <c r="B797" s="25"/>
      <c r="C797" s="19"/>
    </row>
    <row r="798">
      <c r="B798" s="25"/>
      <c r="C798" s="19"/>
    </row>
    <row r="799">
      <c r="B799" s="25"/>
      <c r="C799" s="19"/>
    </row>
    <row r="800">
      <c r="B800" s="25"/>
      <c r="C800" s="19"/>
    </row>
    <row r="801">
      <c r="B801" s="25"/>
      <c r="C801" s="19"/>
    </row>
    <row r="802">
      <c r="B802" s="25"/>
      <c r="C802" s="19"/>
    </row>
    <row r="803">
      <c r="B803" s="25"/>
      <c r="C803" s="19"/>
    </row>
    <row r="804">
      <c r="B804" s="25"/>
      <c r="C804" s="19"/>
    </row>
    <row r="805">
      <c r="B805" s="25"/>
      <c r="C805" s="19"/>
    </row>
    <row r="806">
      <c r="B806" s="25"/>
      <c r="C806" s="19"/>
    </row>
    <row r="807">
      <c r="B807" s="25"/>
      <c r="C807" s="19"/>
    </row>
    <row r="808">
      <c r="B808" s="25"/>
      <c r="C808" s="19"/>
    </row>
    <row r="809">
      <c r="B809" s="25"/>
      <c r="C809" s="19"/>
    </row>
    <row r="810">
      <c r="B810" s="25"/>
      <c r="C810" s="19"/>
    </row>
    <row r="811">
      <c r="B811" s="25"/>
      <c r="C811" s="19"/>
    </row>
    <row r="812">
      <c r="B812" s="25"/>
      <c r="C812" s="19"/>
    </row>
    <row r="813">
      <c r="B813" s="25"/>
      <c r="C813" s="19"/>
    </row>
    <row r="814">
      <c r="B814" s="25"/>
      <c r="C814" s="19"/>
    </row>
    <row r="815">
      <c r="B815" s="25"/>
      <c r="C815" s="19"/>
    </row>
    <row r="816">
      <c r="B816" s="25"/>
      <c r="C816" s="19"/>
    </row>
    <row r="817">
      <c r="B817" s="25"/>
      <c r="C817" s="19"/>
    </row>
    <row r="818">
      <c r="B818" s="25"/>
      <c r="C818" s="19"/>
    </row>
    <row r="819">
      <c r="B819" s="25"/>
      <c r="C819" s="19"/>
    </row>
    <row r="820">
      <c r="B820" s="25"/>
      <c r="C820" s="19"/>
    </row>
    <row r="821">
      <c r="B821" s="25"/>
      <c r="C821" s="19"/>
    </row>
    <row r="822">
      <c r="B822" s="25"/>
      <c r="C822" s="19"/>
    </row>
    <row r="823">
      <c r="B823" s="25"/>
      <c r="C823" s="19"/>
    </row>
    <row r="824">
      <c r="B824" s="25"/>
      <c r="C824" s="19"/>
    </row>
    <row r="825">
      <c r="B825" s="25"/>
      <c r="C825" s="19"/>
    </row>
    <row r="826">
      <c r="B826" s="25"/>
      <c r="C826" s="19"/>
    </row>
    <row r="827">
      <c r="B827" s="25"/>
      <c r="C827" s="19"/>
    </row>
    <row r="828">
      <c r="B828" s="25"/>
      <c r="C828" s="19"/>
    </row>
    <row r="829">
      <c r="B829" s="25"/>
      <c r="C829" s="19"/>
    </row>
    <row r="830">
      <c r="B830" s="25"/>
      <c r="C830" s="19"/>
    </row>
    <row r="831">
      <c r="B831" s="25"/>
      <c r="C831" s="19"/>
    </row>
    <row r="832">
      <c r="B832" s="25"/>
      <c r="C832" s="19"/>
    </row>
    <row r="833">
      <c r="B833" s="25"/>
      <c r="C833" s="19"/>
    </row>
    <row r="834">
      <c r="B834" s="25"/>
      <c r="C834" s="19"/>
    </row>
    <row r="835">
      <c r="B835" s="25"/>
      <c r="C835" s="19"/>
    </row>
    <row r="836">
      <c r="B836" s="25"/>
      <c r="C836" s="19"/>
    </row>
    <row r="837">
      <c r="B837" s="25"/>
      <c r="C837" s="19"/>
    </row>
    <row r="838">
      <c r="B838" s="25"/>
      <c r="C838" s="19"/>
    </row>
    <row r="839">
      <c r="B839" s="25"/>
      <c r="C839" s="19"/>
    </row>
    <row r="840">
      <c r="B840" s="25"/>
      <c r="C840" s="19"/>
    </row>
    <row r="841">
      <c r="B841" s="25"/>
      <c r="C841" s="19"/>
    </row>
    <row r="842">
      <c r="B842" s="25"/>
      <c r="C842" s="19"/>
    </row>
    <row r="843">
      <c r="B843" s="25"/>
      <c r="C843" s="19"/>
    </row>
    <row r="844">
      <c r="B844" s="25"/>
      <c r="C844" s="19"/>
    </row>
    <row r="845">
      <c r="B845" s="25"/>
      <c r="C845" s="19"/>
    </row>
    <row r="846">
      <c r="B846" s="25"/>
      <c r="C846" s="19"/>
    </row>
    <row r="847">
      <c r="B847" s="25"/>
      <c r="C847" s="19"/>
    </row>
    <row r="848">
      <c r="B848" s="25"/>
      <c r="C848" s="19"/>
    </row>
    <row r="849">
      <c r="B849" s="25"/>
      <c r="C849" s="19"/>
    </row>
    <row r="850">
      <c r="B850" s="25"/>
      <c r="C850" s="19"/>
    </row>
    <row r="851">
      <c r="B851" s="25"/>
      <c r="C851" s="19"/>
    </row>
    <row r="852">
      <c r="B852" s="25"/>
      <c r="C852" s="19"/>
    </row>
    <row r="853">
      <c r="B853" s="25"/>
      <c r="C853" s="19"/>
    </row>
    <row r="854">
      <c r="B854" s="25"/>
      <c r="C854" s="19"/>
    </row>
    <row r="855">
      <c r="B855" s="25"/>
      <c r="C855" s="19"/>
    </row>
    <row r="856">
      <c r="B856" s="25"/>
      <c r="C856" s="19"/>
    </row>
    <row r="857">
      <c r="B857" s="25"/>
      <c r="C857" s="19"/>
    </row>
    <row r="858">
      <c r="B858" s="25"/>
      <c r="C858" s="19"/>
    </row>
    <row r="859">
      <c r="B859" s="25"/>
      <c r="C859" s="19"/>
    </row>
    <row r="860">
      <c r="B860" s="25"/>
      <c r="C860" s="19"/>
    </row>
    <row r="861">
      <c r="B861" s="25"/>
      <c r="C861" s="19"/>
    </row>
    <row r="862">
      <c r="B862" s="25"/>
      <c r="C862" s="19"/>
    </row>
    <row r="863">
      <c r="B863" s="25"/>
      <c r="C863" s="19"/>
    </row>
    <row r="864">
      <c r="B864" s="25"/>
      <c r="C864" s="19"/>
    </row>
    <row r="865">
      <c r="B865" s="25"/>
      <c r="C865" s="19"/>
    </row>
    <row r="866">
      <c r="B866" s="25"/>
      <c r="C866" s="19"/>
    </row>
    <row r="867">
      <c r="B867" s="25"/>
      <c r="C867" s="19"/>
    </row>
    <row r="868">
      <c r="B868" s="25"/>
      <c r="C868" s="19"/>
    </row>
    <row r="869">
      <c r="B869" s="25"/>
      <c r="C869" s="19"/>
    </row>
    <row r="870">
      <c r="B870" s="25"/>
      <c r="C870" s="19"/>
    </row>
    <row r="871">
      <c r="B871" s="25"/>
      <c r="C871" s="19"/>
    </row>
    <row r="872">
      <c r="B872" s="25"/>
      <c r="C872" s="19"/>
    </row>
    <row r="873">
      <c r="B873" s="25"/>
      <c r="C873" s="19"/>
    </row>
    <row r="874">
      <c r="B874" s="25"/>
      <c r="C874" s="19"/>
    </row>
    <row r="875">
      <c r="B875" s="25"/>
      <c r="C875" s="19"/>
    </row>
    <row r="876">
      <c r="B876" s="25"/>
      <c r="C876" s="19"/>
    </row>
    <row r="877">
      <c r="B877" s="25"/>
      <c r="C877" s="19"/>
    </row>
    <row r="878">
      <c r="B878" s="25"/>
      <c r="C878" s="19"/>
    </row>
    <row r="879">
      <c r="B879" s="25"/>
      <c r="C879" s="19"/>
    </row>
    <row r="880">
      <c r="B880" s="25"/>
      <c r="C880" s="19"/>
    </row>
    <row r="881">
      <c r="B881" s="25"/>
      <c r="C881" s="19"/>
    </row>
    <row r="882">
      <c r="B882" s="25"/>
      <c r="C882" s="19"/>
    </row>
    <row r="883">
      <c r="B883" s="25"/>
      <c r="C883" s="19"/>
    </row>
    <row r="884">
      <c r="B884" s="25"/>
      <c r="C884" s="19"/>
    </row>
    <row r="885">
      <c r="B885" s="25"/>
      <c r="C885" s="19"/>
    </row>
    <row r="886">
      <c r="B886" s="25"/>
      <c r="C886" s="19"/>
    </row>
    <row r="887">
      <c r="B887" s="25"/>
      <c r="C887" s="19"/>
    </row>
    <row r="888">
      <c r="B888" s="25"/>
      <c r="C888" s="19"/>
    </row>
    <row r="889">
      <c r="B889" s="25"/>
      <c r="C889" s="19"/>
    </row>
    <row r="890">
      <c r="B890" s="25"/>
      <c r="C890" s="19"/>
    </row>
    <row r="891">
      <c r="B891" s="25"/>
      <c r="C891" s="19"/>
    </row>
    <row r="892">
      <c r="B892" s="25"/>
      <c r="C892" s="19"/>
    </row>
    <row r="893">
      <c r="B893" s="25"/>
      <c r="C893" s="19"/>
    </row>
    <row r="894">
      <c r="B894" s="25"/>
      <c r="C894" s="19"/>
    </row>
    <row r="895">
      <c r="B895" s="25"/>
      <c r="C895" s="19"/>
    </row>
    <row r="896">
      <c r="B896" s="25"/>
      <c r="C896" s="19"/>
    </row>
    <row r="897">
      <c r="B897" s="25"/>
      <c r="C897" s="19"/>
    </row>
    <row r="898">
      <c r="B898" s="25"/>
      <c r="C898" s="19"/>
    </row>
    <row r="899">
      <c r="B899" s="25"/>
      <c r="C899" s="19"/>
    </row>
    <row r="900">
      <c r="B900" s="25"/>
      <c r="C900" s="19"/>
    </row>
    <row r="901">
      <c r="B901" s="25"/>
      <c r="C901" s="19"/>
    </row>
    <row r="902">
      <c r="B902" s="25"/>
      <c r="C902" s="19"/>
    </row>
    <row r="903">
      <c r="B903" s="25"/>
      <c r="C903" s="19"/>
    </row>
    <row r="904">
      <c r="B904" s="25"/>
      <c r="C904" s="19"/>
    </row>
    <row r="905">
      <c r="B905" s="25"/>
      <c r="C905" s="19"/>
    </row>
    <row r="906">
      <c r="B906" s="25"/>
      <c r="C906" s="19"/>
    </row>
    <row r="907">
      <c r="B907" s="25"/>
      <c r="C907" s="19"/>
    </row>
    <row r="908">
      <c r="B908" s="25"/>
      <c r="C908" s="19"/>
    </row>
    <row r="909">
      <c r="B909" s="25"/>
      <c r="C909" s="19"/>
    </row>
    <row r="910">
      <c r="B910" s="25"/>
      <c r="C910" s="19"/>
    </row>
    <row r="911">
      <c r="B911" s="25"/>
      <c r="C911" s="19"/>
    </row>
    <row r="912">
      <c r="B912" s="25"/>
      <c r="C912" s="19"/>
    </row>
    <row r="913">
      <c r="B913" s="25"/>
      <c r="C913" s="19"/>
    </row>
    <row r="914">
      <c r="B914" s="25"/>
      <c r="C914" s="19"/>
    </row>
    <row r="915">
      <c r="B915" s="25"/>
      <c r="C915" s="19"/>
    </row>
    <row r="916">
      <c r="B916" s="25"/>
      <c r="C916" s="19"/>
    </row>
    <row r="917">
      <c r="B917" s="25"/>
      <c r="C917" s="19"/>
    </row>
    <row r="918">
      <c r="B918" s="25"/>
      <c r="C918" s="19"/>
    </row>
    <row r="919">
      <c r="B919" s="25"/>
      <c r="C919" s="19"/>
    </row>
    <row r="920">
      <c r="B920" s="25"/>
      <c r="C920" s="19"/>
    </row>
    <row r="921">
      <c r="B921" s="25"/>
      <c r="C921" s="19"/>
    </row>
    <row r="922">
      <c r="B922" s="25"/>
      <c r="C922" s="19"/>
    </row>
    <row r="923">
      <c r="B923" s="25"/>
      <c r="C923" s="19"/>
    </row>
    <row r="924">
      <c r="B924" s="25"/>
      <c r="C924" s="19"/>
    </row>
    <row r="925">
      <c r="B925" s="25"/>
      <c r="C925" s="19"/>
    </row>
    <row r="926">
      <c r="B926" s="25"/>
      <c r="C926" s="19"/>
    </row>
    <row r="927">
      <c r="B927" s="25"/>
      <c r="C927" s="19"/>
    </row>
    <row r="928">
      <c r="B928" s="25"/>
      <c r="C928" s="19"/>
    </row>
    <row r="929">
      <c r="B929" s="25"/>
      <c r="C929" s="19"/>
    </row>
    <row r="930">
      <c r="B930" s="25"/>
      <c r="C930" s="19"/>
    </row>
    <row r="931">
      <c r="B931" s="25"/>
      <c r="C931" s="19"/>
    </row>
    <row r="932">
      <c r="B932" s="25"/>
      <c r="C932" s="19"/>
    </row>
    <row r="933">
      <c r="B933" s="25"/>
      <c r="C933" s="19"/>
    </row>
    <row r="934">
      <c r="B934" s="25"/>
      <c r="C934" s="19"/>
    </row>
    <row r="935">
      <c r="B935" s="25"/>
      <c r="C935" s="19"/>
    </row>
    <row r="936">
      <c r="B936" s="25"/>
      <c r="C936" s="19"/>
    </row>
    <row r="937">
      <c r="B937" s="25"/>
      <c r="C937" s="19"/>
    </row>
    <row r="938">
      <c r="B938" s="25"/>
      <c r="C938" s="19"/>
    </row>
    <row r="939">
      <c r="B939" s="25"/>
      <c r="C939" s="19"/>
    </row>
    <row r="940">
      <c r="B940" s="25"/>
      <c r="C940" s="19"/>
    </row>
    <row r="941">
      <c r="B941" s="25"/>
      <c r="C941" s="19"/>
    </row>
    <row r="942">
      <c r="B942" s="25"/>
      <c r="C942" s="19"/>
    </row>
    <row r="943">
      <c r="B943" s="25"/>
      <c r="C943" s="19"/>
    </row>
    <row r="944">
      <c r="B944" s="25"/>
      <c r="C944" s="19"/>
    </row>
    <row r="945">
      <c r="B945" s="25"/>
      <c r="C945" s="19"/>
    </row>
    <row r="946">
      <c r="B946" s="25"/>
      <c r="C946" s="19"/>
    </row>
    <row r="947">
      <c r="B947" s="25"/>
      <c r="C947" s="19"/>
    </row>
    <row r="948">
      <c r="B948" s="25"/>
      <c r="C948" s="19"/>
    </row>
    <row r="949">
      <c r="B949" s="25"/>
      <c r="C949" s="19"/>
    </row>
    <row r="950">
      <c r="B950" s="25"/>
      <c r="C950" s="19"/>
    </row>
    <row r="951">
      <c r="B951" s="25"/>
      <c r="C951" s="19"/>
    </row>
    <row r="952">
      <c r="B952" s="25"/>
      <c r="C952" s="19"/>
    </row>
    <row r="953">
      <c r="B953" s="25"/>
      <c r="C953" s="19"/>
    </row>
    <row r="954">
      <c r="B954" s="25"/>
      <c r="C954" s="19"/>
    </row>
    <row r="955">
      <c r="B955" s="25"/>
      <c r="C955" s="19"/>
    </row>
    <row r="956">
      <c r="B956" s="25"/>
      <c r="C956" s="19"/>
    </row>
    <row r="957">
      <c r="B957" s="25"/>
      <c r="C957" s="19"/>
    </row>
    <row r="958">
      <c r="B958" s="25"/>
      <c r="C958" s="19"/>
    </row>
    <row r="959">
      <c r="B959" s="25"/>
      <c r="C959" s="19"/>
    </row>
    <row r="960">
      <c r="B960" s="25"/>
      <c r="C960" s="19"/>
    </row>
    <row r="961">
      <c r="B961" s="25"/>
      <c r="C961" s="19"/>
    </row>
    <row r="962">
      <c r="B962" s="25"/>
      <c r="C962" s="19"/>
    </row>
    <row r="963">
      <c r="B963" s="25"/>
      <c r="C963" s="19"/>
    </row>
    <row r="964">
      <c r="B964" s="25"/>
      <c r="C964" s="19"/>
    </row>
    <row r="965">
      <c r="B965" s="25"/>
      <c r="C965" s="19"/>
    </row>
    <row r="966">
      <c r="B966" s="25"/>
      <c r="C966" s="19"/>
    </row>
    <row r="967">
      <c r="B967" s="25"/>
      <c r="C967" s="19"/>
    </row>
    <row r="968">
      <c r="B968" s="25"/>
      <c r="C968" s="19"/>
    </row>
    <row r="969">
      <c r="B969" s="25"/>
      <c r="C969" s="19"/>
    </row>
    <row r="970">
      <c r="B970" s="25"/>
      <c r="C970" s="19"/>
    </row>
    <row r="971">
      <c r="B971" s="25"/>
      <c r="C971" s="19"/>
    </row>
    <row r="972">
      <c r="B972" s="25"/>
      <c r="C972" s="19"/>
    </row>
    <row r="973">
      <c r="B973" s="25"/>
      <c r="C973" s="19"/>
    </row>
    <row r="974">
      <c r="B974" s="25"/>
      <c r="C974" s="19"/>
    </row>
    <row r="975">
      <c r="B975" s="25"/>
      <c r="C975" s="19"/>
    </row>
    <row r="976">
      <c r="B976" s="25"/>
      <c r="C976" s="19"/>
    </row>
    <row r="977">
      <c r="B977" s="25"/>
      <c r="C977" s="19"/>
    </row>
    <row r="978">
      <c r="B978" s="25"/>
      <c r="C978" s="19"/>
    </row>
    <row r="979">
      <c r="B979" s="25"/>
      <c r="C979" s="19"/>
    </row>
    <row r="980">
      <c r="B980" s="25"/>
      <c r="C980" s="19"/>
    </row>
    <row r="981">
      <c r="B981" s="25"/>
      <c r="C981" s="19"/>
    </row>
    <row r="982">
      <c r="B982" s="25"/>
      <c r="C982" s="19"/>
    </row>
    <row r="983">
      <c r="B983" s="25"/>
      <c r="C983" s="19"/>
    </row>
    <row r="984">
      <c r="B984" s="25"/>
      <c r="C984" s="19"/>
    </row>
    <row r="985">
      <c r="B985" s="25"/>
      <c r="C985" s="19"/>
    </row>
    <row r="986">
      <c r="B986" s="25"/>
      <c r="C986" s="19"/>
    </row>
    <row r="987">
      <c r="B987" s="25"/>
      <c r="C987" s="19"/>
    </row>
    <row r="988">
      <c r="B988" s="25"/>
      <c r="C988" s="19"/>
    </row>
    <row r="989">
      <c r="B989" s="25"/>
      <c r="C989" s="19"/>
    </row>
    <row r="990">
      <c r="B990" s="25"/>
      <c r="C990" s="19"/>
    </row>
    <row r="991">
      <c r="B991" s="25"/>
      <c r="C991" s="19"/>
    </row>
    <row r="992">
      <c r="B992" s="25"/>
      <c r="C992" s="19"/>
    </row>
    <row r="993">
      <c r="B993" s="25"/>
      <c r="C993" s="19"/>
    </row>
    <row r="994">
      <c r="B994" s="25"/>
      <c r="C994" s="19"/>
    </row>
    <row r="995">
      <c r="B995" s="25"/>
      <c r="C995" s="19"/>
    </row>
    <row r="996">
      <c r="B996" s="25"/>
      <c r="C996" s="19"/>
    </row>
    <row r="997">
      <c r="B997" s="25"/>
      <c r="C997" s="19"/>
    </row>
    <row r="998">
      <c r="B998" s="25"/>
      <c r="C998" s="19"/>
    </row>
    <row r="999">
      <c r="B999" s="25"/>
      <c r="C999" s="1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0.88"/>
    <col customWidth="1" min="5" max="5" width="14.13"/>
  </cols>
  <sheetData>
    <row r="1">
      <c r="A1" s="26" t="s">
        <v>6</v>
      </c>
      <c r="B1" s="26" t="s">
        <v>1</v>
      </c>
      <c r="C1" s="27" t="s">
        <v>2</v>
      </c>
      <c r="D1" s="26" t="s">
        <v>40</v>
      </c>
      <c r="E1" s="26" t="s">
        <v>4</v>
      </c>
      <c r="F1" s="28" t="s">
        <v>41</v>
      </c>
      <c r="G1" s="29"/>
      <c r="H1" s="29"/>
      <c r="I1" s="29"/>
      <c r="J1" s="29"/>
      <c r="K1" s="29"/>
      <c r="L1" s="29"/>
      <c r="M1" s="29"/>
      <c r="N1" s="29"/>
      <c r="O1" s="29"/>
      <c r="P1" s="29"/>
      <c r="Q1" s="29"/>
      <c r="R1" s="29"/>
      <c r="S1" s="29"/>
      <c r="T1" s="29"/>
      <c r="U1" s="29"/>
      <c r="V1" s="29"/>
      <c r="W1" s="29"/>
      <c r="X1" s="29"/>
      <c r="Y1" s="29"/>
      <c r="Z1" s="29"/>
    </row>
    <row r="2">
      <c r="A2" s="30">
        <v>1.0</v>
      </c>
      <c r="B2" s="31">
        <f>SUMIF('Instagram Ads Raw Data'!$G:$G,A2,'Instagram Ads Raw Data'!$B:$B)</f>
        <v>1720107</v>
      </c>
      <c r="C2" s="32">
        <f>SUMIF('Instagram Ads Raw Data'!$G:$G,A2,'Instagram Ads Raw Data'!$C:$C)</f>
        <v>32172</v>
      </c>
      <c r="D2" s="31">
        <f>SUMIF('Instagram Ads Raw Data'!$G:$G,A2,'Instagram Ads Raw Data'!$D:$D)</f>
        <v>48783</v>
      </c>
      <c r="E2" s="31">
        <f>SUMIF('Instagram Ads Raw Data'!$G:$G,A2,'Instagram Ads Raw Data'!$E:$E)</f>
        <v>599</v>
      </c>
      <c r="F2" s="33">
        <f>SUMIF('Instagram Ads Raw Data'!$G:$G,A2,'Instagram Ads Raw Data'!$F:$F)</f>
        <v>99008</v>
      </c>
    </row>
    <row r="3">
      <c r="A3" s="30">
        <v>2.0</v>
      </c>
      <c r="B3" s="31">
        <f>SUMIF('Instagram Ads Raw Data'!$G:$G,A3,'Instagram Ads Raw Data'!$B:$B)</f>
        <v>1557121</v>
      </c>
      <c r="C3" s="32">
        <f>SUMIF('Instagram Ads Raw Data'!$G:$G,A3,'Instagram Ads Raw Data'!$C:$C)</f>
        <v>31502</v>
      </c>
      <c r="D3" s="31">
        <f>SUMIF('Instagram Ads Raw Data'!$G:$G,A3,'Instagram Ads Raw Data'!$D:$D)</f>
        <v>47406</v>
      </c>
      <c r="E3" s="31">
        <f>SUMIF('Instagram Ads Raw Data'!$G:$G,A3,'Instagram Ads Raw Data'!$E:$E)</f>
        <v>546</v>
      </c>
      <c r="F3" s="33">
        <f>SUMIF('Instagram Ads Raw Data'!$G:$G,A3,'Instagram Ads Raw Data'!$F:$F)</f>
        <v>92767</v>
      </c>
    </row>
    <row r="4">
      <c r="A4" s="30">
        <v>3.0</v>
      </c>
      <c r="B4" s="31">
        <f>SUMIF('Instagram Ads Raw Data'!$G:$G,A4,'Instagram Ads Raw Data'!$B:$B)</f>
        <v>1570479</v>
      </c>
      <c r="C4" s="32">
        <f>SUMIF('Instagram Ads Raw Data'!$G:$G,A4,'Instagram Ads Raw Data'!$C:$C)</f>
        <v>31937</v>
      </c>
      <c r="D4" s="31">
        <f>SUMIF('Instagram Ads Raw Data'!$G:$G,A4,'Instagram Ads Raw Data'!$D:$D)</f>
        <v>45220</v>
      </c>
      <c r="E4" s="31">
        <f>SUMIF('Instagram Ads Raw Data'!$G:$G,A4,'Instagram Ads Raw Data'!$E:$E)</f>
        <v>610</v>
      </c>
      <c r="F4" s="33">
        <f>SUMIF('Instagram Ads Raw Data'!$G:$G,A4,'Instagram Ads Raw Data'!$F:$F)</f>
        <v>91252</v>
      </c>
    </row>
    <row r="5">
      <c r="A5" s="30">
        <v>4.0</v>
      </c>
      <c r="B5" s="31">
        <f>SUMIF('Instagram Ads Raw Data'!$G:$G,A5,'Instagram Ads Raw Data'!$B:$B)</f>
        <v>1921842</v>
      </c>
      <c r="C5" s="32">
        <f>SUMIF('Instagram Ads Raw Data'!$G:$G,A5,'Instagram Ads Raw Data'!$C:$C)</f>
        <v>37631</v>
      </c>
      <c r="D5" s="31">
        <f>SUMIF('Instagram Ads Raw Data'!$G:$G,A5,'Instagram Ads Raw Data'!$D:$D)</f>
        <v>59285</v>
      </c>
      <c r="E5" s="31">
        <f>SUMIF('Instagram Ads Raw Data'!$G:$G,A5,'Instagram Ads Raw Data'!$E:$E)</f>
        <v>717</v>
      </c>
      <c r="F5" s="33">
        <f>SUMIF('Instagram Ads Raw Data'!$G:$G,A5,'Instagram Ads Raw Data'!$F:$F)</f>
        <v>112373</v>
      </c>
    </row>
    <row r="6">
      <c r="A6" s="30">
        <v>5.0</v>
      </c>
      <c r="B6" s="31">
        <f>SUMIF('Instagram Ads Raw Data'!$G:$G,A6,'Instagram Ads Raw Data'!$B:$B)</f>
        <v>1828461</v>
      </c>
      <c r="C6" s="32">
        <f>SUMIF('Instagram Ads Raw Data'!$G:$G,A6,'Instagram Ads Raw Data'!$C:$C)</f>
        <v>36388</v>
      </c>
      <c r="D6" s="31">
        <f>SUMIF('Instagram Ads Raw Data'!$G:$G,A6,'Instagram Ads Raw Data'!$D:$D)</f>
        <v>57348</v>
      </c>
      <c r="E6" s="31">
        <f>SUMIF('Instagram Ads Raw Data'!$G:$G,A6,'Instagram Ads Raw Data'!$E:$E)</f>
        <v>702</v>
      </c>
      <c r="F6" s="33">
        <f>SUMIF('Instagram Ads Raw Data'!$G:$G,A6,'Instagram Ads Raw Data'!$F:$F)</f>
        <v>106927</v>
      </c>
    </row>
    <row r="7">
      <c r="A7" s="30">
        <v>6.0</v>
      </c>
      <c r="B7" s="31">
        <f>SUMIF('Instagram Ads Raw Data'!$G:$G,A7,'Instagram Ads Raw Data'!$B:$B)</f>
        <v>1704404</v>
      </c>
      <c r="C7" s="32">
        <f>SUMIF('Instagram Ads Raw Data'!$G:$G,A7,'Instagram Ads Raw Data'!$C:$C)</f>
        <v>36581</v>
      </c>
      <c r="D7" s="31">
        <f>SUMIF('Instagram Ads Raw Data'!$G:$G,A7,'Instagram Ads Raw Data'!$D:$D)</f>
        <v>56754</v>
      </c>
      <c r="E7" s="31">
        <f>SUMIF('Instagram Ads Raw Data'!$G:$G,A7,'Instagram Ads Raw Data'!$E:$E)</f>
        <v>716</v>
      </c>
      <c r="F7" s="33">
        <f>SUMIF('Instagram Ads Raw Data'!$G:$G,A7,'Instagram Ads Raw Data'!$F:$F)</f>
        <v>113329</v>
      </c>
    </row>
    <row r="8">
      <c r="A8" s="30">
        <v>7.0</v>
      </c>
      <c r="B8" s="31">
        <f>SUMIF('Instagram Ads Raw Data'!$G:$G,A8,'Instagram Ads Raw Data'!$B:$B)</f>
        <v>1631972</v>
      </c>
      <c r="C8" s="32">
        <f>SUMIF('Instagram Ads Raw Data'!$G:$G,A8,'Instagram Ads Raw Data'!$C:$C)</f>
        <v>35440</v>
      </c>
      <c r="D8" s="31">
        <f>SUMIF('Instagram Ads Raw Data'!$G:$G,A8,'Instagram Ads Raw Data'!$D:$D)</f>
        <v>54023</v>
      </c>
      <c r="E8" s="31">
        <f>SUMIF('Instagram Ads Raw Data'!$G:$G,A8,'Instagram Ads Raw Data'!$E:$E)</f>
        <v>635</v>
      </c>
      <c r="F8" s="33">
        <f>SUMIF('Instagram Ads Raw Data'!$G:$G,A8,'Instagram Ads Raw Data'!$F:$F)</f>
        <v>95572</v>
      </c>
    </row>
    <row r="9">
      <c r="A9" s="30">
        <v>8.0</v>
      </c>
      <c r="B9" s="31">
        <f>SUMIF('Instagram Ads Raw Data'!$G:$G,A9,'Instagram Ads Raw Data'!$B:$B)</f>
        <v>1673314</v>
      </c>
      <c r="C9" s="32">
        <f>SUMIF('Instagram Ads Raw Data'!$G:$G,A9,'Instagram Ads Raw Data'!$C:$C)</f>
        <v>32435</v>
      </c>
      <c r="D9" s="31">
        <f>SUMIF('Instagram Ads Raw Data'!$G:$G,A9,'Instagram Ads Raw Data'!$D:$D)</f>
        <v>50112</v>
      </c>
      <c r="E9" s="31">
        <f>SUMIF('Instagram Ads Raw Data'!$G:$G,A9,'Instagram Ads Raw Data'!$E:$E)</f>
        <v>590</v>
      </c>
      <c r="F9" s="33">
        <f>SUMIF('Instagram Ads Raw Data'!$G:$G,A9,'Instagram Ads Raw Data'!$F:$F)</f>
        <v>89404</v>
      </c>
    </row>
    <row r="10">
      <c r="A10" s="30">
        <v>9.0</v>
      </c>
      <c r="B10" s="31">
        <f>SUMIF('Instagram Ads Raw Data'!$G:$G,A10,'Instagram Ads Raw Data'!$B:$B)</f>
        <v>1486196</v>
      </c>
      <c r="C10" s="32">
        <f>SUMIF('Instagram Ads Raw Data'!$G:$G,A10,'Instagram Ads Raw Data'!$C:$C)</f>
        <v>28665</v>
      </c>
      <c r="D10" s="31">
        <f>SUMIF('Instagram Ads Raw Data'!$G:$G,A10,'Instagram Ads Raw Data'!$D:$D)</f>
        <v>43521</v>
      </c>
      <c r="E10" s="31">
        <f>SUMIF('Instagram Ads Raw Data'!$G:$G,A10,'Instagram Ads Raw Data'!$E:$E)</f>
        <v>551</v>
      </c>
      <c r="F10" s="33">
        <f>SUMIF('Instagram Ads Raw Data'!$G:$G,A10,'Instagram Ads Raw Data'!$F:$F)</f>
        <v>87196</v>
      </c>
    </row>
    <row r="11">
      <c r="A11" s="30">
        <v>10.0</v>
      </c>
      <c r="B11" s="31">
        <f>SUMIF('Instagram Ads Raw Data'!$G:$G,A11,'Instagram Ads Raw Data'!$B:$B)</f>
        <v>1780444</v>
      </c>
      <c r="C11" s="32">
        <f>SUMIF('Instagram Ads Raw Data'!$G:$G,A11,'Instagram Ads Raw Data'!$C:$C)</f>
        <v>36765</v>
      </c>
      <c r="D11" s="31">
        <f>SUMIF('Instagram Ads Raw Data'!$G:$G,A11,'Instagram Ads Raw Data'!$D:$D)</f>
        <v>49918</v>
      </c>
      <c r="E11" s="31">
        <f>SUMIF('Instagram Ads Raw Data'!$G:$G,A11,'Instagram Ads Raw Data'!$E:$E)</f>
        <v>714</v>
      </c>
      <c r="F11" s="33">
        <f>SUMIF('Instagram Ads Raw Data'!$G:$G,A11,'Instagram Ads Raw Data'!$F:$F)</f>
        <v>103574</v>
      </c>
    </row>
    <row r="12">
      <c r="A12" s="30">
        <v>11.0</v>
      </c>
      <c r="B12" s="31">
        <f>SUMIF('Instagram Ads Raw Data'!$G:$G,A12,'Instagram Ads Raw Data'!$B:$B)</f>
        <v>1567977</v>
      </c>
      <c r="C12" s="32">
        <f>SUMIF('Instagram Ads Raw Data'!$G:$G,A12,'Instagram Ads Raw Data'!$C:$C)</f>
        <v>31184</v>
      </c>
      <c r="D12" s="31">
        <f>SUMIF('Instagram Ads Raw Data'!$G:$G,A12,'Instagram Ads Raw Data'!$D:$D)</f>
        <v>42580</v>
      </c>
      <c r="E12" s="31">
        <f>SUMIF('Instagram Ads Raw Data'!$G:$G,A12,'Instagram Ads Raw Data'!$E:$E)</f>
        <v>567</v>
      </c>
      <c r="F12" s="33">
        <f>SUMIF('Instagram Ads Raw Data'!$G:$G,A12,'Instagram Ads Raw Data'!$F:$F)</f>
        <v>88344</v>
      </c>
    </row>
    <row r="13">
      <c r="A13" s="30">
        <v>12.0</v>
      </c>
      <c r="B13" s="31">
        <f>SUMIF('Instagram Ads Raw Data'!$G:$G,A13,'Instagram Ads Raw Data'!$B:$B)</f>
        <v>2294197</v>
      </c>
      <c r="C13" s="32">
        <f>SUMIF('Instagram Ads Raw Data'!$G:$G,A13,'Instagram Ads Raw Data'!$C:$C)</f>
        <v>47640</v>
      </c>
      <c r="D13" s="31">
        <f>SUMIF('Instagram Ads Raw Data'!$G:$G,A13,'Instagram Ads Raw Data'!$D:$D)</f>
        <v>69955</v>
      </c>
      <c r="E13" s="31">
        <f>SUMIF('Instagram Ads Raw Data'!$G:$G,A13,'Instagram Ads Raw Data'!$E:$E)</f>
        <v>830</v>
      </c>
      <c r="F13" s="33">
        <f>SUMIF('Instagram Ads Raw Data'!$G:$G,A13,'Instagram Ads Raw Data'!$F:$F)</f>
        <v>133509</v>
      </c>
    </row>
    <row r="14">
      <c r="C14" s="34"/>
      <c r="F14" s="10"/>
    </row>
    <row r="15">
      <c r="C15" s="34"/>
      <c r="F15" s="10"/>
    </row>
    <row r="16">
      <c r="C16" s="34"/>
      <c r="F16" s="10"/>
    </row>
    <row r="17">
      <c r="C17" s="34"/>
      <c r="F17" s="10"/>
    </row>
    <row r="18">
      <c r="C18" s="34"/>
      <c r="F18" s="10"/>
    </row>
    <row r="19">
      <c r="C19" s="34"/>
      <c r="F19" s="10"/>
    </row>
    <row r="20">
      <c r="C20" s="34"/>
      <c r="F20" s="10"/>
    </row>
    <row r="21">
      <c r="C21" s="34"/>
      <c r="F21" s="10"/>
    </row>
    <row r="22">
      <c r="C22" s="34"/>
      <c r="F22" s="10"/>
    </row>
    <row r="23">
      <c r="C23" s="34"/>
      <c r="F23" s="10"/>
    </row>
    <row r="24">
      <c r="C24" s="34"/>
      <c r="F24" s="10"/>
    </row>
    <row r="25">
      <c r="C25" s="34"/>
      <c r="F25" s="10"/>
    </row>
    <row r="26">
      <c r="C26" s="34"/>
      <c r="F26" s="10"/>
    </row>
    <row r="27">
      <c r="C27" s="34"/>
      <c r="F27" s="10"/>
    </row>
    <row r="28">
      <c r="C28" s="34"/>
      <c r="F28" s="10"/>
    </row>
    <row r="29">
      <c r="C29" s="34"/>
      <c r="F29" s="10"/>
    </row>
    <row r="30">
      <c r="C30" s="34"/>
      <c r="F30" s="10"/>
    </row>
    <row r="31">
      <c r="C31" s="34"/>
      <c r="F31" s="10"/>
    </row>
    <row r="32">
      <c r="C32" s="34"/>
      <c r="F32" s="10"/>
    </row>
    <row r="33">
      <c r="C33" s="34"/>
      <c r="F33" s="10"/>
    </row>
    <row r="34">
      <c r="C34" s="34"/>
      <c r="F34" s="10"/>
    </row>
    <row r="35">
      <c r="C35" s="34"/>
      <c r="F35" s="10"/>
    </row>
    <row r="36">
      <c r="C36" s="34"/>
      <c r="F36" s="10"/>
    </row>
    <row r="37">
      <c r="C37" s="34"/>
      <c r="F37" s="10"/>
    </row>
    <row r="38">
      <c r="C38" s="34"/>
      <c r="F38" s="10"/>
    </row>
    <row r="39">
      <c r="C39" s="34"/>
      <c r="F39" s="10"/>
    </row>
    <row r="40">
      <c r="C40" s="34"/>
      <c r="F40" s="10"/>
    </row>
    <row r="41">
      <c r="C41" s="34"/>
      <c r="F41" s="10"/>
    </row>
    <row r="42">
      <c r="C42" s="34"/>
      <c r="F42" s="10"/>
    </row>
    <row r="43">
      <c r="C43" s="34"/>
      <c r="F43" s="10"/>
    </row>
    <row r="44">
      <c r="C44" s="34"/>
      <c r="F44" s="10"/>
    </row>
    <row r="45">
      <c r="C45" s="34"/>
      <c r="F45" s="10"/>
    </row>
    <row r="46">
      <c r="C46" s="34"/>
      <c r="F46" s="10"/>
    </row>
    <row r="47">
      <c r="C47" s="34"/>
      <c r="F47" s="10"/>
    </row>
    <row r="48">
      <c r="C48" s="34"/>
      <c r="F48" s="10"/>
    </row>
    <row r="49">
      <c r="C49" s="34"/>
      <c r="F49" s="10"/>
    </row>
    <row r="50">
      <c r="C50" s="34"/>
      <c r="F50" s="10"/>
    </row>
    <row r="51">
      <c r="C51" s="34"/>
      <c r="F51" s="10"/>
    </row>
    <row r="52">
      <c r="C52" s="34"/>
      <c r="F52" s="10"/>
    </row>
    <row r="53">
      <c r="C53" s="34"/>
      <c r="F53" s="10"/>
    </row>
    <row r="54">
      <c r="C54" s="34"/>
      <c r="F54" s="10"/>
    </row>
    <row r="55">
      <c r="C55" s="34"/>
      <c r="F55" s="10"/>
    </row>
    <row r="56">
      <c r="C56" s="34"/>
      <c r="F56" s="10"/>
    </row>
    <row r="57">
      <c r="C57" s="34"/>
      <c r="F57" s="10"/>
    </row>
    <row r="58">
      <c r="C58" s="34"/>
      <c r="F58" s="10"/>
    </row>
    <row r="59">
      <c r="C59" s="34"/>
      <c r="F59" s="10"/>
    </row>
    <row r="60">
      <c r="C60" s="34"/>
      <c r="F60" s="10"/>
    </row>
    <row r="61">
      <c r="C61" s="34"/>
      <c r="F61" s="10"/>
    </row>
    <row r="62">
      <c r="C62" s="34"/>
      <c r="F62" s="10"/>
    </row>
    <row r="63">
      <c r="C63" s="34"/>
      <c r="F63" s="10"/>
    </row>
    <row r="64">
      <c r="C64" s="34"/>
      <c r="F64" s="10"/>
    </row>
    <row r="65">
      <c r="C65" s="34"/>
      <c r="F65" s="10"/>
    </row>
    <row r="66">
      <c r="C66" s="34"/>
      <c r="F66" s="10"/>
    </row>
    <row r="67">
      <c r="C67" s="34"/>
      <c r="F67" s="10"/>
    </row>
    <row r="68">
      <c r="C68" s="34"/>
      <c r="F68" s="10"/>
    </row>
    <row r="69">
      <c r="C69" s="34"/>
      <c r="F69" s="10"/>
    </row>
    <row r="70">
      <c r="C70" s="34"/>
      <c r="F70" s="10"/>
    </row>
    <row r="71">
      <c r="C71" s="34"/>
      <c r="F71" s="10"/>
    </row>
    <row r="72">
      <c r="C72" s="34"/>
      <c r="F72" s="10"/>
    </row>
    <row r="73">
      <c r="C73" s="34"/>
      <c r="F73" s="10"/>
    </row>
    <row r="74">
      <c r="C74" s="34"/>
      <c r="F74" s="10"/>
    </row>
    <row r="75">
      <c r="C75" s="34"/>
      <c r="F75" s="10"/>
    </row>
    <row r="76">
      <c r="C76" s="34"/>
      <c r="F76" s="10"/>
    </row>
    <row r="77">
      <c r="C77" s="34"/>
      <c r="F77" s="10"/>
    </row>
    <row r="78">
      <c r="C78" s="34"/>
      <c r="F78" s="10"/>
    </row>
    <row r="79">
      <c r="C79" s="34"/>
      <c r="F79" s="10"/>
    </row>
    <row r="80">
      <c r="C80" s="34"/>
      <c r="F80" s="10"/>
    </row>
    <row r="81">
      <c r="C81" s="34"/>
      <c r="F81" s="10"/>
    </row>
    <row r="82">
      <c r="C82" s="34"/>
      <c r="F82" s="10"/>
    </row>
    <row r="83">
      <c r="C83" s="34"/>
      <c r="F83" s="10"/>
    </row>
    <row r="84">
      <c r="C84" s="34"/>
      <c r="F84" s="10"/>
    </row>
    <row r="85">
      <c r="C85" s="34"/>
      <c r="F85" s="10"/>
    </row>
    <row r="86">
      <c r="C86" s="34"/>
      <c r="F86" s="10"/>
    </row>
    <row r="87">
      <c r="C87" s="34"/>
      <c r="F87" s="10"/>
    </row>
    <row r="88">
      <c r="C88" s="34"/>
      <c r="F88" s="10"/>
    </row>
    <row r="89">
      <c r="C89" s="34"/>
      <c r="F89" s="10"/>
    </row>
    <row r="90">
      <c r="C90" s="34"/>
      <c r="F90" s="10"/>
    </row>
    <row r="91">
      <c r="C91" s="34"/>
      <c r="F91" s="10"/>
    </row>
    <row r="92">
      <c r="C92" s="34"/>
      <c r="F92" s="10"/>
    </row>
    <row r="93">
      <c r="C93" s="34"/>
      <c r="F93" s="10"/>
    </row>
    <row r="94">
      <c r="C94" s="34"/>
      <c r="F94" s="10"/>
    </row>
    <row r="95">
      <c r="C95" s="34"/>
      <c r="F95" s="10"/>
    </row>
    <row r="96">
      <c r="C96" s="34"/>
      <c r="F96" s="10"/>
    </row>
    <row r="97">
      <c r="C97" s="34"/>
      <c r="F97" s="10"/>
    </row>
    <row r="98">
      <c r="C98" s="34"/>
      <c r="F98" s="10"/>
    </row>
    <row r="99">
      <c r="C99" s="34"/>
      <c r="F99" s="10"/>
    </row>
    <row r="100">
      <c r="C100" s="34"/>
      <c r="F100" s="10"/>
    </row>
    <row r="101">
      <c r="C101" s="34"/>
      <c r="F101" s="10"/>
    </row>
    <row r="102">
      <c r="C102" s="34"/>
      <c r="F102" s="10"/>
    </row>
    <row r="103">
      <c r="C103" s="34"/>
      <c r="F103" s="10"/>
    </row>
    <row r="104">
      <c r="C104" s="34"/>
      <c r="F104" s="10"/>
    </row>
    <row r="105">
      <c r="C105" s="34"/>
      <c r="F105" s="10"/>
    </row>
    <row r="106">
      <c r="C106" s="34"/>
      <c r="F106" s="10"/>
    </row>
    <row r="107">
      <c r="C107" s="34"/>
      <c r="F107" s="10"/>
    </row>
    <row r="108">
      <c r="C108" s="34"/>
      <c r="F108" s="10"/>
    </row>
    <row r="109">
      <c r="C109" s="34"/>
      <c r="F109" s="10"/>
    </row>
    <row r="110">
      <c r="C110" s="34"/>
      <c r="F110" s="10"/>
    </row>
    <row r="111">
      <c r="C111" s="34"/>
      <c r="F111" s="10"/>
    </row>
    <row r="112">
      <c r="C112" s="34"/>
      <c r="F112" s="10"/>
    </row>
    <row r="113">
      <c r="C113" s="34"/>
      <c r="F113" s="10"/>
    </row>
    <row r="114">
      <c r="C114" s="34"/>
      <c r="F114" s="10"/>
    </row>
    <row r="115">
      <c r="C115" s="34"/>
      <c r="F115" s="10"/>
    </row>
    <row r="116">
      <c r="C116" s="34"/>
      <c r="F116" s="10"/>
    </row>
    <row r="117">
      <c r="C117" s="34"/>
      <c r="F117" s="10"/>
    </row>
    <row r="118">
      <c r="C118" s="34"/>
      <c r="F118" s="10"/>
    </row>
    <row r="119">
      <c r="C119" s="34"/>
      <c r="F119" s="10"/>
    </row>
    <row r="120">
      <c r="C120" s="34"/>
      <c r="F120" s="10"/>
    </row>
    <row r="121">
      <c r="C121" s="34"/>
      <c r="F121" s="10"/>
    </row>
    <row r="122">
      <c r="C122" s="34"/>
      <c r="F122" s="10"/>
    </row>
    <row r="123">
      <c r="C123" s="34"/>
      <c r="F123" s="10"/>
    </row>
    <row r="124">
      <c r="C124" s="34"/>
      <c r="F124" s="10"/>
    </row>
    <row r="125">
      <c r="C125" s="34"/>
      <c r="F125" s="10"/>
    </row>
    <row r="126">
      <c r="C126" s="34"/>
      <c r="F126" s="10"/>
    </row>
    <row r="127">
      <c r="C127" s="34"/>
      <c r="F127" s="10"/>
    </row>
    <row r="128">
      <c r="C128" s="34"/>
      <c r="F128" s="10"/>
    </row>
    <row r="129">
      <c r="C129" s="34"/>
      <c r="F129" s="10"/>
    </row>
    <row r="130">
      <c r="C130" s="34"/>
      <c r="F130" s="10"/>
    </row>
    <row r="131">
      <c r="C131" s="34"/>
      <c r="F131" s="10"/>
    </row>
    <row r="132">
      <c r="C132" s="34"/>
      <c r="F132" s="10"/>
    </row>
    <row r="133">
      <c r="C133" s="34"/>
      <c r="F133" s="10"/>
    </row>
    <row r="134">
      <c r="C134" s="34"/>
      <c r="F134" s="10"/>
    </row>
    <row r="135">
      <c r="C135" s="34"/>
      <c r="F135" s="10"/>
    </row>
    <row r="136">
      <c r="C136" s="34"/>
      <c r="F136" s="10"/>
    </row>
    <row r="137">
      <c r="C137" s="34"/>
      <c r="F137" s="10"/>
    </row>
    <row r="138">
      <c r="C138" s="34"/>
      <c r="F138" s="10"/>
    </row>
    <row r="139">
      <c r="C139" s="34"/>
      <c r="F139" s="10"/>
    </row>
    <row r="140">
      <c r="C140" s="34"/>
      <c r="F140" s="10"/>
    </row>
    <row r="141">
      <c r="C141" s="34"/>
      <c r="F141" s="10"/>
    </row>
    <row r="142">
      <c r="C142" s="34"/>
      <c r="F142" s="10"/>
    </row>
    <row r="143">
      <c r="C143" s="34"/>
      <c r="F143" s="10"/>
    </row>
    <row r="144">
      <c r="C144" s="34"/>
      <c r="F144" s="10"/>
    </row>
    <row r="145">
      <c r="C145" s="34"/>
      <c r="F145" s="10"/>
    </row>
    <row r="146">
      <c r="C146" s="34"/>
      <c r="F146" s="10"/>
    </row>
    <row r="147">
      <c r="C147" s="34"/>
      <c r="F147" s="10"/>
    </row>
    <row r="148">
      <c r="C148" s="34"/>
      <c r="F148" s="10"/>
    </row>
    <row r="149">
      <c r="C149" s="34"/>
      <c r="F149" s="10"/>
    </row>
    <row r="150">
      <c r="C150" s="34"/>
      <c r="F150" s="10"/>
    </row>
    <row r="151">
      <c r="C151" s="34"/>
      <c r="F151" s="10"/>
    </row>
    <row r="152">
      <c r="C152" s="34"/>
      <c r="F152" s="10"/>
    </row>
    <row r="153">
      <c r="C153" s="34"/>
      <c r="F153" s="10"/>
    </row>
    <row r="154">
      <c r="C154" s="34"/>
      <c r="F154" s="10"/>
    </row>
    <row r="155">
      <c r="C155" s="34"/>
      <c r="F155" s="10"/>
    </row>
    <row r="156">
      <c r="C156" s="34"/>
      <c r="F156" s="10"/>
    </row>
    <row r="157">
      <c r="C157" s="34"/>
      <c r="F157" s="10"/>
    </row>
    <row r="158">
      <c r="C158" s="34"/>
      <c r="F158" s="10"/>
    </row>
    <row r="159">
      <c r="C159" s="34"/>
      <c r="F159" s="10"/>
    </row>
    <row r="160">
      <c r="C160" s="34"/>
      <c r="F160" s="10"/>
    </row>
    <row r="161">
      <c r="C161" s="34"/>
      <c r="F161" s="10"/>
    </row>
    <row r="162">
      <c r="C162" s="34"/>
      <c r="F162" s="10"/>
    </row>
    <row r="163">
      <c r="C163" s="34"/>
      <c r="F163" s="10"/>
    </row>
    <row r="164">
      <c r="C164" s="34"/>
      <c r="F164" s="10"/>
    </row>
    <row r="165">
      <c r="C165" s="34"/>
      <c r="F165" s="10"/>
    </row>
    <row r="166">
      <c r="C166" s="34"/>
      <c r="F166" s="10"/>
    </row>
    <row r="167">
      <c r="C167" s="34"/>
      <c r="F167" s="10"/>
    </row>
    <row r="168">
      <c r="C168" s="34"/>
      <c r="F168" s="10"/>
    </row>
    <row r="169">
      <c r="C169" s="34"/>
      <c r="F169" s="10"/>
    </row>
    <row r="170">
      <c r="C170" s="34"/>
      <c r="F170" s="10"/>
    </row>
    <row r="171">
      <c r="C171" s="34"/>
      <c r="F171" s="10"/>
    </row>
    <row r="172">
      <c r="C172" s="34"/>
      <c r="F172" s="10"/>
    </row>
    <row r="173">
      <c r="C173" s="34"/>
      <c r="F173" s="10"/>
    </row>
    <row r="174">
      <c r="C174" s="34"/>
      <c r="F174" s="10"/>
    </row>
    <row r="175">
      <c r="C175" s="34"/>
      <c r="F175" s="10"/>
    </row>
    <row r="176">
      <c r="C176" s="34"/>
      <c r="F176" s="10"/>
    </row>
    <row r="177">
      <c r="C177" s="34"/>
      <c r="F177" s="10"/>
    </row>
    <row r="178">
      <c r="C178" s="34"/>
      <c r="F178" s="10"/>
    </row>
    <row r="179">
      <c r="C179" s="34"/>
      <c r="F179" s="10"/>
    </row>
    <row r="180">
      <c r="C180" s="34"/>
      <c r="F180" s="10"/>
    </row>
    <row r="181">
      <c r="C181" s="34"/>
      <c r="F181" s="10"/>
    </row>
    <row r="182">
      <c r="C182" s="34"/>
      <c r="F182" s="10"/>
    </row>
    <row r="183">
      <c r="C183" s="34"/>
      <c r="F183" s="10"/>
    </row>
    <row r="184">
      <c r="C184" s="34"/>
      <c r="F184" s="10"/>
    </row>
    <row r="185">
      <c r="C185" s="34"/>
      <c r="F185" s="10"/>
    </row>
    <row r="186">
      <c r="C186" s="34"/>
      <c r="F186" s="10"/>
    </row>
    <row r="187">
      <c r="C187" s="34"/>
      <c r="F187" s="10"/>
    </row>
    <row r="188">
      <c r="C188" s="34"/>
      <c r="F188" s="10"/>
    </row>
    <row r="189">
      <c r="C189" s="34"/>
      <c r="F189" s="10"/>
    </row>
    <row r="190">
      <c r="C190" s="34"/>
      <c r="F190" s="10"/>
    </row>
    <row r="191">
      <c r="C191" s="34"/>
      <c r="F191" s="10"/>
    </row>
    <row r="192">
      <c r="C192" s="34"/>
      <c r="F192" s="10"/>
    </row>
    <row r="193">
      <c r="C193" s="34"/>
      <c r="F193" s="10"/>
    </row>
    <row r="194">
      <c r="C194" s="34"/>
      <c r="F194" s="10"/>
    </row>
    <row r="195">
      <c r="C195" s="34"/>
      <c r="F195" s="10"/>
    </row>
    <row r="196">
      <c r="C196" s="34"/>
      <c r="F196" s="10"/>
    </row>
    <row r="197">
      <c r="C197" s="34"/>
      <c r="F197" s="10"/>
    </row>
    <row r="198">
      <c r="C198" s="34"/>
      <c r="F198" s="10"/>
    </row>
    <row r="199">
      <c r="C199" s="34"/>
      <c r="F199" s="10"/>
    </row>
    <row r="200">
      <c r="C200" s="34"/>
      <c r="F200" s="10"/>
    </row>
    <row r="201">
      <c r="C201" s="34"/>
      <c r="F201" s="10"/>
    </row>
    <row r="202">
      <c r="C202" s="34"/>
      <c r="F202" s="10"/>
    </row>
    <row r="203">
      <c r="C203" s="34"/>
      <c r="F203" s="10"/>
    </row>
    <row r="204">
      <c r="C204" s="34"/>
      <c r="F204" s="10"/>
    </row>
    <row r="205">
      <c r="C205" s="34"/>
      <c r="F205" s="10"/>
    </row>
    <row r="206">
      <c r="C206" s="34"/>
      <c r="F206" s="10"/>
    </row>
    <row r="207">
      <c r="C207" s="34"/>
      <c r="F207" s="10"/>
    </row>
    <row r="208">
      <c r="C208" s="34"/>
      <c r="F208" s="10"/>
    </row>
    <row r="209">
      <c r="C209" s="34"/>
      <c r="F209" s="10"/>
    </row>
    <row r="210">
      <c r="C210" s="34"/>
      <c r="F210" s="10"/>
    </row>
    <row r="211">
      <c r="C211" s="34"/>
      <c r="F211" s="10"/>
    </row>
    <row r="212">
      <c r="C212" s="34"/>
      <c r="F212" s="10"/>
    </row>
    <row r="213">
      <c r="C213" s="34"/>
      <c r="F213" s="10"/>
    </row>
    <row r="214">
      <c r="C214" s="34"/>
      <c r="F214" s="10"/>
    </row>
    <row r="215">
      <c r="C215" s="34"/>
      <c r="F215" s="10"/>
    </row>
    <row r="216">
      <c r="C216" s="34"/>
      <c r="F216" s="10"/>
    </row>
    <row r="217">
      <c r="C217" s="34"/>
      <c r="F217" s="10"/>
    </row>
    <row r="218">
      <c r="C218" s="34"/>
      <c r="F218" s="10"/>
    </row>
    <row r="219">
      <c r="C219" s="34"/>
      <c r="F219" s="10"/>
    </row>
    <row r="220">
      <c r="C220" s="34"/>
      <c r="F220" s="10"/>
    </row>
    <row r="221">
      <c r="C221" s="34"/>
      <c r="F221" s="10"/>
    </row>
    <row r="222">
      <c r="C222" s="34"/>
      <c r="F222" s="10"/>
    </row>
    <row r="223">
      <c r="C223" s="34"/>
      <c r="F223" s="10"/>
    </row>
    <row r="224">
      <c r="C224" s="34"/>
      <c r="F224" s="10"/>
    </row>
    <row r="225">
      <c r="C225" s="34"/>
      <c r="F225" s="10"/>
    </row>
    <row r="226">
      <c r="C226" s="34"/>
      <c r="F226" s="10"/>
    </row>
    <row r="227">
      <c r="C227" s="34"/>
      <c r="F227" s="10"/>
    </row>
    <row r="228">
      <c r="C228" s="34"/>
      <c r="F228" s="10"/>
    </row>
    <row r="229">
      <c r="C229" s="34"/>
      <c r="F229" s="10"/>
    </row>
    <row r="230">
      <c r="C230" s="34"/>
      <c r="F230" s="10"/>
    </row>
    <row r="231">
      <c r="C231" s="34"/>
      <c r="F231" s="10"/>
    </row>
    <row r="232">
      <c r="C232" s="34"/>
      <c r="F232" s="10"/>
    </row>
    <row r="233">
      <c r="C233" s="34"/>
      <c r="F233" s="10"/>
    </row>
    <row r="234">
      <c r="C234" s="34"/>
      <c r="F234" s="10"/>
    </row>
    <row r="235">
      <c r="C235" s="34"/>
      <c r="F235" s="10"/>
    </row>
    <row r="236">
      <c r="C236" s="34"/>
      <c r="F236" s="10"/>
    </row>
    <row r="237">
      <c r="C237" s="34"/>
      <c r="F237" s="10"/>
    </row>
    <row r="238">
      <c r="C238" s="34"/>
      <c r="F238" s="10"/>
    </row>
    <row r="239">
      <c r="C239" s="34"/>
      <c r="F239" s="10"/>
    </row>
    <row r="240">
      <c r="C240" s="34"/>
      <c r="F240" s="10"/>
    </row>
    <row r="241">
      <c r="C241" s="34"/>
      <c r="F241" s="10"/>
    </row>
    <row r="242">
      <c r="C242" s="34"/>
      <c r="F242" s="10"/>
    </row>
    <row r="243">
      <c r="C243" s="34"/>
      <c r="F243" s="10"/>
    </row>
    <row r="244">
      <c r="C244" s="34"/>
      <c r="F244" s="10"/>
    </row>
    <row r="245">
      <c r="C245" s="34"/>
      <c r="F245" s="10"/>
    </row>
    <row r="246">
      <c r="C246" s="34"/>
      <c r="F246" s="10"/>
    </row>
    <row r="247">
      <c r="C247" s="34"/>
      <c r="F247" s="10"/>
    </row>
    <row r="248">
      <c r="C248" s="34"/>
      <c r="F248" s="10"/>
    </row>
    <row r="249">
      <c r="C249" s="34"/>
      <c r="F249" s="10"/>
    </row>
    <row r="250">
      <c r="C250" s="34"/>
      <c r="F250" s="10"/>
    </row>
    <row r="251">
      <c r="C251" s="34"/>
      <c r="F251" s="10"/>
    </row>
    <row r="252">
      <c r="C252" s="34"/>
      <c r="F252" s="10"/>
    </row>
    <row r="253">
      <c r="C253" s="34"/>
      <c r="F253" s="10"/>
    </row>
    <row r="254">
      <c r="C254" s="34"/>
      <c r="F254" s="10"/>
    </row>
    <row r="255">
      <c r="C255" s="34"/>
      <c r="F255" s="10"/>
    </row>
    <row r="256">
      <c r="C256" s="34"/>
      <c r="F256" s="10"/>
    </row>
    <row r="257">
      <c r="C257" s="34"/>
      <c r="F257" s="10"/>
    </row>
    <row r="258">
      <c r="C258" s="34"/>
      <c r="F258" s="10"/>
    </row>
    <row r="259">
      <c r="C259" s="34"/>
      <c r="F259" s="10"/>
    </row>
    <row r="260">
      <c r="C260" s="34"/>
      <c r="F260" s="10"/>
    </row>
    <row r="261">
      <c r="C261" s="34"/>
      <c r="F261" s="10"/>
    </row>
    <row r="262">
      <c r="C262" s="34"/>
      <c r="F262" s="10"/>
    </row>
    <row r="263">
      <c r="C263" s="34"/>
      <c r="F263" s="10"/>
    </row>
    <row r="264">
      <c r="C264" s="34"/>
      <c r="F264" s="10"/>
    </row>
    <row r="265">
      <c r="C265" s="34"/>
      <c r="F265" s="10"/>
    </row>
    <row r="266">
      <c r="C266" s="34"/>
      <c r="F266" s="10"/>
    </row>
    <row r="267">
      <c r="C267" s="34"/>
      <c r="F267" s="10"/>
    </row>
    <row r="268">
      <c r="C268" s="34"/>
      <c r="F268" s="10"/>
    </row>
    <row r="269">
      <c r="C269" s="34"/>
      <c r="F269" s="10"/>
    </row>
    <row r="270">
      <c r="C270" s="34"/>
      <c r="F270" s="10"/>
    </row>
    <row r="271">
      <c r="C271" s="34"/>
      <c r="F271" s="10"/>
    </row>
    <row r="272">
      <c r="C272" s="34"/>
      <c r="F272" s="10"/>
    </row>
    <row r="273">
      <c r="C273" s="34"/>
      <c r="F273" s="10"/>
    </row>
    <row r="274">
      <c r="C274" s="34"/>
      <c r="F274" s="10"/>
    </row>
    <row r="275">
      <c r="C275" s="34"/>
      <c r="F275" s="10"/>
    </row>
    <row r="276">
      <c r="C276" s="34"/>
      <c r="F276" s="10"/>
    </row>
    <row r="277">
      <c r="C277" s="34"/>
      <c r="F277" s="10"/>
    </row>
    <row r="278">
      <c r="C278" s="34"/>
      <c r="F278" s="10"/>
    </row>
    <row r="279">
      <c r="C279" s="34"/>
      <c r="F279" s="10"/>
    </row>
    <row r="280">
      <c r="C280" s="34"/>
      <c r="F280" s="10"/>
    </row>
    <row r="281">
      <c r="C281" s="34"/>
      <c r="F281" s="10"/>
    </row>
    <row r="282">
      <c r="C282" s="34"/>
      <c r="F282" s="10"/>
    </row>
    <row r="283">
      <c r="C283" s="34"/>
      <c r="F283" s="10"/>
    </row>
    <row r="284">
      <c r="C284" s="34"/>
      <c r="F284" s="10"/>
    </row>
    <row r="285">
      <c r="C285" s="34"/>
      <c r="F285" s="10"/>
    </row>
    <row r="286">
      <c r="C286" s="34"/>
      <c r="F286" s="10"/>
    </row>
    <row r="287">
      <c r="C287" s="34"/>
      <c r="F287" s="10"/>
    </row>
    <row r="288">
      <c r="C288" s="34"/>
      <c r="F288" s="10"/>
    </row>
    <row r="289">
      <c r="C289" s="34"/>
      <c r="F289" s="10"/>
    </row>
    <row r="290">
      <c r="C290" s="34"/>
      <c r="F290" s="10"/>
    </row>
    <row r="291">
      <c r="C291" s="34"/>
      <c r="F291" s="10"/>
    </row>
    <row r="292">
      <c r="C292" s="34"/>
      <c r="F292" s="10"/>
    </row>
    <row r="293">
      <c r="C293" s="34"/>
      <c r="F293" s="10"/>
    </row>
    <row r="294">
      <c r="C294" s="34"/>
      <c r="F294" s="10"/>
    </row>
    <row r="295">
      <c r="C295" s="34"/>
      <c r="F295" s="10"/>
    </row>
    <row r="296">
      <c r="C296" s="34"/>
      <c r="F296" s="10"/>
    </row>
    <row r="297">
      <c r="C297" s="34"/>
      <c r="F297" s="10"/>
    </row>
    <row r="298">
      <c r="C298" s="34"/>
      <c r="F298" s="10"/>
    </row>
    <row r="299">
      <c r="C299" s="34"/>
      <c r="F299" s="10"/>
    </row>
    <row r="300">
      <c r="C300" s="34"/>
      <c r="F300" s="10"/>
    </row>
    <row r="301">
      <c r="C301" s="34"/>
      <c r="F301" s="10"/>
    </row>
    <row r="302">
      <c r="C302" s="34"/>
      <c r="F302" s="10"/>
    </row>
    <row r="303">
      <c r="C303" s="34"/>
      <c r="F303" s="10"/>
    </row>
    <row r="304">
      <c r="C304" s="34"/>
      <c r="F304" s="10"/>
    </row>
    <row r="305">
      <c r="C305" s="34"/>
      <c r="F305" s="10"/>
    </row>
    <row r="306">
      <c r="C306" s="34"/>
      <c r="F306" s="10"/>
    </row>
    <row r="307">
      <c r="C307" s="34"/>
      <c r="F307" s="10"/>
    </row>
    <row r="308">
      <c r="C308" s="34"/>
      <c r="F308" s="10"/>
    </row>
    <row r="309">
      <c r="C309" s="34"/>
      <c r="F309" s="10"/>
    </row>
    <row r="310">
      <c r="C310" s="34"/>
      <c r="F310" s="10"/>
    </row>
    <row r="311">
      <c r="C311" s="34"/>
      <c r="F311" s="10"/>
    </row>
    <row r="312">
      <c r="C312" s="34"/>
      <c r="F312" s="10"/>
    </row>
    <row r="313">
      <c r="C313" s="34"/>
      <c r="F313" s="10"/>
    </row>
    <row r="314">
      <c r="C314" s="34"/>
      <c r="F314" s="10"/>
    </row>
    <row r="315">
      <c r="C315" s="34"/>
      <c r="F315" s="10"/>
    </row>
    <row r="316">
      <c r="C316" s="34"/>
      <c r="F316" s="10"/>
    </row>
    <row r="317">
      <c r="C317" s="34"/>
      <c r="F317" s="10"/>
    </row>
    <row r="318">
      <c r="C318" s="34"/>
      <c r="F318" s="10"/>
    </row>
    <row r="319">
      <c r="C319" s="34"/>
      <c r="F319" s="10"/>
    </row>
    <row r="320">
      <c r="C320" s="34"/>
      <c r="F320" s="10"/>
    </row>
    <row r="321">
      <c r="C321" s="34"/>
      <c r="F321" s="10"/>
    </row>
    <row r="322">
      <c r="C322" s="34"/>
      <c r="F322" s="10"/>
    </row>
    <row r="323">
      <c r="C323" s="34"/>
      <c r="F323" s="10"/>
    </row>
    <row r="324">
      <c r="C324" s="34"/>
      <c r="F324" s="10"/>
    </row>
    <row r="325">
      <c r="C325" s="34"/>
      <c r="F325" s="10"/>
    </row>
    <row r="326">
      <c r="C326" s="34"/>
      <c r="F326" s="10"/>
    </row>
    <row r="327">
      <c r="C327" s="34"/>
      <c r="F327" s="10"/>
    </row>
    <row r="328">
      <c r="C328" s="34"/>
      <c r="F328" s="10"/>
    </row>
    <row r="329">
      <c r="C329" s="34"/>
      <c r="F329" s="10"/>
    </row>
    <row r="330">
      <c r="C330" s="34"/>
      <c r="F330" s="10"/>
    </row>
    <row r="331">
      <c r="C331" s="34"/>
      <c r="F331" s="10"/>
    </row>
    <row r="332">
      <c r="C332" s="34"/>
      <c r="F332" s="10"/>
    </row>
    <row r="333">
      <c r="C333" s="34"/>
      <c r="F333" s="10"/>
    </row>
    <row r="334">
      <c r="C334" s="34"/>
      <c r="F334" s="10"/>
    </row>
    <row r="335">
      <c r="C335" s="34"/>
      <c r="F335" s="10"/>
    </row>
    <row r="336">
      <c r="C336" s="34"/>
      <c r="F336" s="10"/>
    </row>
    <row r="337">
      <c r="C337" s="34"/>
      <c r="F337" s="10"/>
    </row>
    <row r="338">
      <c r="C338" s="34"/>
      <c r="F338" s="10"/>
    </row>
    <row r="339">
      <c r="C339" s="34"/>
      <c r="F339" s="10"/>
    </row>
    <row r="340">
      <c r="C340" s="34"/>
      <c r="F340" s="10"/>
    </row>
    <row r="341">
      <c r="C341" s="34"/>
      <c r="F341" s="10"/>
    </row>
    <row r="342">
      <c r="C342" s="34"/>
      <c r="F342" s="10"/>
    </row>
    <row r="343">
      <c r="C343" s="34"/>
      <c r="F343" s="10"/>
    </row>
    <row r="344">
      <c r="C344" s="34"/>
      <c r="F344" s="10"/>
    </row>
    <row r="345">
      <c r="C345" s="34"/>
      <c r="F345" s="10"/>
    </row>
    <row r="346">
      <c r="C346" s="34"/>
      <c r="F346" s="10"/>
    </row>
    <row r="347">
      <c r="C347" s="34"/>
      <c r="F347" s="10"/>
    </row>
    <row r="348">
      <c r="C348" s="34"/>
      <c r="F348" s="10"/>
    </row>
    <row r="349">
      <c r="C349" s="34"/>
      <c r="F349" s="10"/>
    </row>
    <row r="350">
      <c r="C350" s="34"/>
      <c r="F350" s="10"/>
    </row>
    <row r="351">
      <c r="C351" s="34"/>
      <c r="F351" s="10"/>
    </row>
    <row r="352">
      <c r="C352" s="34"/>
      <c r="F352" s="10"/>
    </row>
    <row r="353">
      <c r="C353" s="34"/>
      <c r="F353" s="10"/>
    </row>
    <row r="354">
      <c r="C354" s="34"/>
      <c r="F354" s="10"/>
    </row>
    <row r="355">
      <c r="C355" s="34"/>
      <c r="F355" s="10"/>
    </row>
    <row r="356">
      <c r="C356" s="34"/>
      <c r="F356" s="10"/>
    </row>
    <row r="357">
      <c r="C357" s="34"/>
      <c r="F357" s="10"/>
    </row>
    <row r="358">
      <c r="C358" s="34"/>
      <c r="F358" s="10"/>
    </row>
    <row r="359">
      <c r="C359" s="34"/>
      <c r="F359" s="10"/>
    </row>
    <row r="360">
      <c r="C360" s="34"/>
      <c r="F360" s="10"/>
    </row>
    <row r="361">
      <c r="C361" s="34"/>
      <c r="F361" s="10"/>
    </row>
    <row r="362">
      <c r="C362" s="34"/>
      <c r="F362" s="10"/>
    </row>
    <row r="363">
      <c r="C363" s="34"/>
      <c r="F363" s="10"/>
    </row>
    <row r="364">
      <c r="C364" s="34"/>
      <c r="F364" s="10"/>
    </row>
    <row r="365">
      <c r="C365" s="34"/>
      <c r="F365" s="10"/>
    </row>
    <row r="366">
      <c r="C366" s="34"/>
      <c r="F366" s="10"/>
    </row>
    <row r="367">
      <c r="C367" s="34"/>
      <c r="F367" s="10"/>
    </row>
    <row r="368">
      <c r="C368" s="34"/>
      <c r="F368" s="10"/>
    </row>
    <row r="369">
      <c r="C369" s="34"/>
      <c r="F369" s="10"/>
    </row>
    <row r="370">
      <c r="C370" s="34"/>
      <c r="F370" s="10"/>
    </row>
    <row r="371">
      <c r="C371" s="34"/>
      <c r="F371" s="10"/>
    </row>
    <row r="372">
      <c r="C372" s="34"/>
      <c r="F372" s="10"/>
    </row>
    <row r="373">
      <c r="C373" s="34"/>
      <c r="F373" s="10"/>
    </row>
    <row r="374">
      <c r="C374" s="34"/>
      <c r="F374" s="10"/>
    </row>
    <row r="375">
      <c r="C375" s="34"/>
      <c r="F375" s="10"/>
    </row>
    <row r="376">
      <c r="C376" s="34"/>
      <c r="F376" s="10"/>
    </row>
    <row r="377">
      <c r="C377" s="34"/>
      <c r="F377" s="10"/>
    </row>
    <row r="378">
      <c r="C378" s="34"/>
      <c r="F378" s="10"/>
    </row>
    <row r="379">
      <c r="C379" s="34"/>
      <c r="F379" s="10"/>
    </row>
    <row r="380">
      <c r="C380" s="34"/>
      <c r="F380" s="10"/>
    </row>
    <row r="381">
      <c r="C381" s="34"/>
      <c r="F381" s="10"/>
    </row>
    <row r="382">
      <c r="C382" s="34"/>
      <c r="F382" s="10"/>
    </row>
    <row r="383">
      <c r="C383" s="34"/>
      <c r="F383" s="10"/>
    </row>
    <row r="384">
      <c r="C384" s="34"/>
      <c r="F384" s="10"/>
    </row>
    <row r="385">
      <c r="C385" s="34"/>
      <c r="F385" s="10"/>
    </row>
    <row r="386">
      <c r="C386" s="34"/>
      <c r="F386" s="10"/>
    </row>
    <row r="387">
      <c r="C387" s="34"/>
      <c r="F387" s="10"/>
    </row>
    <row r="388">
      <c r="C388" s="34"/>
      <c r="F388" s="10"/>
    </row>
    <row r="389">
      <c r="C389" s="34"/>
      <c r="F389" s="10"/>
    </row>
    <row r="390">
      <c r="C390" s="34"/>
      <c r="F390" s="10"/>
    </row>
    <row r="391">
      <c r="C391" s="34"/>
      <c r="F391" s="10"/>
    </row>
    <row r="392">
      <c r="C392" s="34"/>
      <c r="F392" s="10"/>
    </row>
    <row r="393">
      <c r="C393" s="34"/>
      <c r="F393" s="10"/>
    </row>
    <row r="394">
      <c r="C394" s="34"/>
      <c r="F394" s="10"/>
    </row>
    <row r="395">
      <c r="C395" s="34"/>
      <c r="F395" s="10"/>
    </row>
    <row r="396">
      <c r="C396" s="34"/>
      <c r="F396" s="10"/>
    </row>
    <row r="397">
      <c r="C397" s="34"/>
      <c r="F397" s="10"/>
    </row>
    <row r="398">
      <c r="C398" s="34"/>
      <c r="F398" s="10"/>
    </row>
    <row r="399">
      <c r="C399" s="34"/>
      <c r="F399" s="10"/>
    </row>
    <row r="400">
      <c r="C400" s="34"/>
      <c r="F400" s="10"/>
    </row>
    <row r="401">
      <c r="C401" s="34"/>
      <c r="F401" s="10"/>
    </row>
    <row r="402">
      <c r="C402" s="34"/>
      <c r="F402" s="10"/>
    </row>
    <row r="403">
      <c r="C403" s="34"/>
      <c r="F403" s="10"/>
    </row>
    <row r="404">
      <c r="C404" s="34"/>
      <c r="F404" s="10"/>
    </row>
    <row r="405">
      <c r="C405" s="34"/>
      <c r="F405" s="10"/>
    </row>
    <row r="406">
      <c r="C406" s="34"/>
      <c r="F406" s="10"/>
    </row>
    <row r="407">
      <c r="C407" s="34"/>
      <c r="F407" s="10"/>
    </row>
    <row r="408">
      <c r="C408" s="34"/>
      <c r="F408" s="10"/>
    </row>
    <row r="409">
      <c r="C409" s="34"/>
      <c r="F409" s="10"/>
    </row>
    <row r="410">
      <c r="C410" s="34"/>
      <c r="F410" s="10"/>
    </row>
    <row r="411">
      <c r="C411" s="34"/>
      <c r="F411" s="10"/>
    </row>
    <row r="412">
      <c r="C412" s="34"/>
      <c r="F412" s="10"/>
    </row>
    <row r="413">
      <c r="C413" s="34"/>
      <c r="F413" s="10"/>
    </row>
    <row r="414">
      <c r="C414" s="34"/>
      <c r="F414" s="10"/>
    </row>
    <row r="415">
      <c r="C415" s="34"/>
      <c r="F415" s="10"/>
    </row>
    <row r="416">
      <c r="C416" s="34"/>
      <c r="F416" s="10"/>
    </row>
    <row r="417">
      <c r="C417" s="34"/>
      <c r="F417" s="10"/>
    </row>
    <row r="418">
      <c r="C418" s="34"/>
      <c r="F418" s="10"/>
    </row>
    <row r="419">
      <c r="C419" s="34"/>
      <c r="F419" s="10"/>
    </row>
    <row r="420">
      <c r="C420" s="34"/>
      <c r="F420" s="10"/>
    </row>
    <row r="421">
      <c r="C421" s="34"/>
      <c r="F421" s="10"/>
    </row>
    <row r="422">
      <c r="C422" s="34"/>
      <c r="F422" s="10"/>
    </row>
    <row r="423">
      <c r="C423" s="34"/>
      <c r="F423" s="10"/>
    </row>
    <row r="424">
      <c r="C424" s="34"/>
      <c r="F424" s="10"/>
    </row>
    <row r="425">
      <c r="C425" s="34"/>
      <c r="F425" s="10"/>
    </row>
    <row r="426">
      <c r="C426" s="34"/>
      <c r="F426" s="10"/>
    </row>
    <row r="427">
      <c r="C427" s="34"/>
      <c r="F427" s="10"/>
    </row>
    <row r="428">
      <c r="C428" s="34"/>
      <c r="F428" s="10"/>
    </row>
    <row r="429">
      <c r="C429" s="34"/>
      <c r="F429" s="10"/>
    </row>
    <row r="430">
      <c r="C430" s="34"/>
      <c r="F430" s="10"/>
    </row>
    <row r="431">
      <c r="C431" s="34"/>
      <c r="F431" s="10"/>
    </row>
    <row r="432">
      <c r="C432" s="34"/>
      <c r="F432" s="10"/>
    </row>
    <row r="433">
      <c r="C433" s="34"/>
      <c r="F433" s="10"/>
    </row>
    <row r="434">
      <c r="C434" s="34"/>
      <c r="F434" s="10"/>
    </row>
    <row r="435">
      <c r="C435" s="34"/>
      <c r="F435" s="10"/>
    </row>
    <row r="436">
      <c r="C436" s="34"/>
      <c r="F436" s="10"/>
    </row>
    <row r="437">
      <c r="C437" s="34"/>
      <c r="F437" s="10"/>
    </row>
    <row r="438">
      <c r="C438" s="34"/>
      <c r="F438" s="10"/>
    </row>
    <row r="439">
      <c r="C439" s="34"/>
      <c r="F439" s="10"/>
    </row>
    <row r="440">
      <c r="C440" s="34"/>
      <c r="F440" s="10"/>
    </row>
    <row r="441">
      <c r="C441" s="34"/>
      <c r="F441" s="10"/>
    </row>
    <row r="442">
      <c r="C442" s="34"/>
      <c r="F442" s="10"/>
    </row>
    <row r="443">
      <c r="C443" s="34"/>
      <c r="F443" s="10"/>
    </row>
    <row r="444">
      <c r="C444" s="34"/>
      <c r="F444" s="10"/>
    </row>
    <row r="445">
      <c r="C445" s="34"/>
      <c r="F445" s="10"/>
    </row>
    <row r="446">
      <c r="C446" s="34"/>
      <c r="F446" s="10"/>
    </row>
    <row r="447">
      <c r="C447" s="34"/>
      <c r="F447" s="10"/>
    </row>
    <row r="448">
      <c r="C448" s="34"/>
      <c r="F448" s="10"/>
    </row>
    <row r="449">
      <c r="C449" s="34"/>
      <c r="F449" s="10"/>
    </row>
    <row r="450">
      <c r="C450" s="34"/>
      <c r="F450" s="10"/>
    </row>
    <row r="451">
      <c r="C451" s="34"/>
      <c r="F451" s="10"/>
    </row>
    <row r="452">
      <c r="C452" s="34"/>
      <c r="F452" s="10"/>
    </row>
    <row r="453">
      <c r="C453" s="34"/>
      <c r="F453" s="10"/>
    </row>
    <row r="454">
      <c r="C454" s="34"/>
      <c r="F454" s="10"/>
    </row>
    <row r="455">
      <c r="C455" s="34"/>
      <c r="F455" s="10"/>
    </row>
    <row r="456">
      <c r="C456" s="34"/>
      <c r="F456" s="10"/>
    </row>
    <row r="457">
      <c r="C457" s="34"/>
      <c r="F457" s="10"/>
    </row>
    <row r="458">
      <c r="C458" s="34"/>
      <c r="F458" s="10"/>
    </row>
    <row r="459">
      <c r="C459" s="34"/>
      <c r="F459" s="10"/>
    </row>
    <row r="460">
      <c r="C460" s="34"/>
      <c r="F460" s="10"/>
    </row>
    <row r="461">
      <c r="C461" s="34"/>
      <c r="F461" s="10"/>
    </row>
    <row r="462">
      <c r="C462" s="34"/>
      <c r="F462" s="10"/>
    </row>
    <row r="463">
      <c r="C463" s="34"/>
      <c r="F463" s="10"/>
    </row>
    <row r="464">
      <c r="C464" s="34"/>
      <c r="F464" s="10"/>
    </row>
    <row r="465">
      <c r="C465" s="34"/>
      <c r="F465" s="10"/>
    </row>
    <row r="466">
      <c r="C466" s="34"/>
      <c r="F466" s="10"/>
    </row>
    <row r="467">
      <c r="C467" s="34"/>
      <c r="F467" s="10"/>
    </row>
    <row r="468">
      <c r="C468" s="34"/>
      <c r="F468" s="10"/>
    </row>
    <row r="469">
      <c r="C469" s="34"/>
      <c r="F469" s="10"/>
    </row>
    <row r="470">
      <c r="C470" s="34"/>
      <c r="F470" s="10"/>
    </row>
    <row r="471">
      <c r="C471" s="34"/>
      <c r="F471" s="10"/>
    </row>
    <row r="472">
      <c r="C472" s="34"/>
      <c r="F472" s="10"/>
    </row>
    <row r="473">
      <c r="C473" s="34"/>
      <c r="F473" s="10"/>
    </row>
    <row r="474">
      <c r="C474" s="34"/>
      <c r="F474" s="10"/>
    </row>
    <row r="475">
      <c r="C475" s="34"/>
      <c r="F475" s="10"/>
    </row>
    <row r="476">
      <c r="C476" s="34"/>
      <c r="F476" s="10"/>
    </row>
    <row r="477">
      <c r="C477" s="34"/>
      <c r="F477" s="10"/>
    </row>
    <row r="478">
      <c r="C478" s="34"/>
      <c r="F478" s="10"/>
    </row>
    <row r="479">
      <c r="C479" s="34"/>
      <c r="F479" s="10"/>
    </row>
    <row r="480">
      <c r="C480" s="34"/>
      <c r="F480" s="10"/>
    </row>
    <row r="481">
      <c r="C481" s="34"/>
      <c r="F481" s="10"/>
    </row>
    <row r="482">
      <c r="C482" s="34"/>
      <c r="F482" s="10"/>
    </row>
    <row r="483">
      <c r="C483" s="34"/>
      <c r="F483" s="10"/>
    </row>
    <row r="484">
      <c r="C484" s="34"/>
      <c r="F484" s="10"/>
    </row>
    <row r="485">
      <c r="C485" s="34"/>
      <c r="F485" s="10"/>
    </row>
    <row r="486">
      <c r="C486" s="34"/>
      <c r="F486" s="10"/>
    </row>
    <row r="487">
      <c r="C487" s="34"/>
      <c r="F487" s="10"/>
    </row>
    <row r="488">
      <c r="C488" s="34"/>
      <c r="F488" s="10"/>
    </row>
    <row r="489">
      <c r="C489" s="34"/>
      <c r="F489" s="10"/>
    </row>
    <row r="490">
      <c r="C490" s="34"/>
      <c r="F490" s="10"/>
    </row>
    <row r="491">
      <c r="C491" s="34"/>
      <c r="F491" s="10"/>
    </row>
    <row r="492">
      <c r="C492" s="34"/>
      <c r="F492" s="10"/>
    </row>
    <row r="493">
      <c r="C493" s="34"/>
      <c r="F493" s="10"/>
    </row>
    <row r="494">
      <c r="C494" s="34"/>
      <c r="F494" s="10"/>
    </row>
    <row r="495">
      <c r="C495" s="34"/>
      <c r="F495" s="10"/>
    </row>
    <row r="496">
      <c r="C496" s="34"/>
      <c r="F496" s="10"/>
    </row>
    <row r="497">
      <c r="C497" s="34"/>
      <c r="F497" s="10"/>
    </row>
    <row r="498">
      <c r="C498" s="34"/>
      <c r="F498" s="10"/>
    </row>
    <row r="499">
      <c r="C499" s="34"/>
      <c r="F499" s="10"/>
    </row>
    <row r="500">
      <c r="C500" s="34"/>
      <c r="F500" s="10"/>
    </row>
    <row r="501">
      <c r="C501" s="34"/>
      <c r="F501" s="10"/>
    </row>
    <row r="502">
      <c r="C502" s="34"/>
      <c r="F502" s="10"/>
    </row>
    <row r="503">
      <c r="C503" s="34"/>
      <c r="F503" s="10"/>
    </row>
    <row r="504">
      <c r="C504" s="34"/>
      <c r="F504" s="10"/>
    </row>
    <row r="505">
      <c r="C505" s="34"/>
      <c r="F505" s="10"/>
    </row>
    <row r="506">
      <c r="C506" s="34"/>
      <c r="F506" s="10"/>
    </row>
    <row r="507">
      <c r="C507" s="34"/>
      <c r="F507" s="10"/>
    </row>
    <row r="508">
      <c r="C508" s="34"/>
      <c r="F508" s="10"/>
    </row>
    <row r="509">
      <c r="C509" s="34"/>
      <c r="F509" s="10"/>
    </row>
    <row r="510">
      <c r="C510" s="34"/>
      <c r="F510" s="10"/>
    </row>
    <row r="511">
      <c r="C511" s="34"/>
      <c r="F511" s="10"/>
    </row>
    <row r="512">
      <c r="C512" s="34"/>
      <c r="F512" s="10"/>
    </row>
    <row r="513">
      <c r="C513" s="34"/>
      <c r="F513" s="10"/>
    </row>
    <row r="514">
      <c r="C514" s="34"/>
      <c r="F514" s="10"/>
    </row>
    <row r="515">
      <c r="C515" s="34"/>
      <c r="F515" s="10"/>
    </row>
    <row r="516">
      <c r="C516" s="34"/>
      <c r="F516" s="10"/>
    </row>
    <row r="517">
      <c r="C517" s="34"/>
      <c r="F517" s="10"/>
    </row>
    <row r="518">
      <c r="C518" s="34"/>
      <c r="F518" s="10"/>
    </row>
    <row r="519">
      <c r="C519" s="34"/>
      <c r="F519" s="10"/>
    </row>
    <row r="520">
      <c r="C520" s="34"/>
      <c r="F520" s="10"/>
    </row>
    <row r="521">
      <c r="C521" s="34"/>
      <c r="F521" s="10"/>
    </row>
    <row r="522">
      <c r="C522" s="34"/>
      <c r="F522" s="10"/>
    </row>
    <row r="523">
      <c r="C523" s="34"/>
      <c r="F523" s="10"/>
    </row>
    <row r="524">
      <c r="C524" s="34"/>
      <c r="F524" s="10"/>
    </row>
    <row r="525">
      <c r="C525" s="34"/>
      <c r="F525" s="10"/>
    </row>
    <row r="526">
      <c r="C526" s="34"/>
      <c r="F526" s="10"/>
    </row>
    <row r="527">
      <c r="C527" s="34"/>
      <c r="F527" s="10"/>
    </row>
    <row r="528">
      <c r="C528" s="34"/>
      <c r="F528" s="10"/>
    </row>
    <row r="529">
      <c r="C529" s="34"/>
      <c r="F529" s="10"/>
    </row>
    <row r="530">
      <c r="C530" s="34"/>
      <c r="F530" s="10"/>
    </row>
    <row r="531">
      <c r="C531" s="34"/>
      <c r="F531" s="10"/>
    </row>
    <row r="532">
      <c r="C532" s="34"/>
      <c r="F532" s="10"/>
    </row>
    <row r="533">
      <c r="C533" s="34"/>
      <c r="F533" s="10"/>
    </row>
    <row r="534">
      <c r="C534" s="34"/>
      <c r="F534" s="10"/>
    </row>
    <row r="535">
      <c r="C535" s="34"/>
      <c r="F535" s="10"/>
    </row>
    <row r="536">
      <c r="C536" s="34"/>
      <c r="F536" s="10"/>
    </row>
    <row r="537">
      <c r="C537" s="34"/>
      <c r="F537" s="10"/>
    </row>
    <row r="538">
      <c r="C538" s="34"/>
      <c r="F538" s="10"/>
    </row>
    <row r="539">
      <c r="C539" s="34"/>
      <c r="F539" s="10"/>
    </row>
    <row r="540">
      <c r="C540" s="34"/>
      <c r="F540" s="10"/>
    </row>
    <row r="541">
      <c r="C541" s="34"/>
      <c r="F541" s="10"/>
    </row>
    <row r="542">
      <c r="C542" s="34"/>
      <c r="F542" s="10"/>
    </row>
    <row r="543">
      <c r="C543" s="34"/>
      <c r="F543" s="10"/>
    </row>
    <row r="544">
      <c r="C544" s="34"/>
      <c r="F544" s="10"/>
    </row>
    <row r="545">
      <c r="C545" s="34"/>
      <c r="F545" s="10"/>
    </row>
    <row r="546">
      <c r="C546" s="34"/>
      <c r="F546" s="10"/>
    </row>
    <row r="547">
      <c r="C547" s="34"/>
      <c r="F547" s="10"/>
    </row>
    <row r="548">
      <c r="C548" s="34"/>
      <c r="F548" s="10"/>
    </row>
    <row r="549">
      <c r="C549" s="34"/>
      <c r="F549" s="10"/>
    </row>
    <row r="550">
      <c r="C550" s="34"/>
      <c r="F550" s="10"/>
    </row>
    <row r="551">
      <c r="C551" s="34"/>
      <c r="F551" s="10"/>
    </row>
    <row r="552">
      <c r="C552" s="34"/>
      <c r="F552" s="10"/>
    </row>
    <row r="553">
      <c r="C553" s="34"/>
      <c r="F553" s="10"/>
    </row>
    <row r="554">
      <c r="C554" s="34"/>
      <c r="F554" s="10"/>
    </row>
    <row r="555">
      <c r="C555" s="34"/>
      <c r="F555" s="10"/>
    </row>
    <row r="556">
      <c r="C556" s="34"/>
      <c r="F556" s="10"/>
    </row>
    <row r="557">
      <c r="C557" s="34"/>
      <c r="F557" s="10"/>
    </row>
    <row r="558">
      <c r="C558" s="34"/>
      <c r="F558" s="10"/>
    </row>
    <row r="559">
      <c r="C559" s="34"/>
      <c r="F559" s="10"/>
    </row>
    <row r="560">
      <c r="C560" s="34"/>
      <c r="F560" s="10"/>
    </row>
    <row r="561">
      <c r="C561" s="34"/>
      <c r="F561" s="10"/>
    </row>
    <row r="562">
      <c r="C562" s="34"/>
      <c r="F562" s="10"/>
    </row>
    <row r="563">
      <c r="C563" s="34"/>
      <c r="F563" s="10"/>
    </row>
    <row r="564">
      <c r="C564" s="34"/>
      <c r="F564" s="10"/>
    </row>
    <row r="565">
      <c r="C565" s="34"/>
      <c r="F565" s="10"/>
    </row>
    <row r="566">
      <c r="C566" s="34"/>
      <c r="F566" s="10"/>
    </row>
    <row r="567">
      <c r="C567" s="34"/>
      <c r="F567" s="10"/>
    </row>
    <row r="568">
      <c r="C568" s="34"/>
      <c r="F568" s="10"/>
    </row>
    <row r="569">
      <c r="C569" s="34"/>
      <c r="F569" s="10"/>
    </row>
    <row r="570">
      <c r="C570" s="34"/>
      <c r="F570" s="10"/>
    </row>
    <row r="571">
      <c r="C571" s="34"/>
      <c r="F571" s="10"/>
    </row>
    <row r="572">
      <c r="C572" s="34"/>
      <c r="F572" s="10"/>
    </row>
    <row r="573">
      <c r="C573" s="34"/>
      <c r="F573" s="10"/>
    </row>
    <row r="574">
      <c r="C574" s="34"/>
      <c r="F574" s="10"/>
    </row>
    <row r="575">
      <c r="C575" s="34"/>
      <c r="F575" s="10"/>
    </row>
    <row r="576">
      <c r="C576" s="34"/>
      <c r="F576" s="10"/>
    </row>
    <row r="577">
      <c r="C577" s="34"/>
      <c r="F577" s="10"/>
    </row>
    <row r="578">
      <c r="C578" s="34"/>
      <c r="F578" s="10"/>
    </row>
    <row r="579">
      <c r="C579" s="34"/>
      <c r="F579" s="10"/>
    </row>
    <row r="580">
      <c r="C580" s="34"/>
      <c r="F580" s="10"/>
    </row>
    <row r="581">
      <c r="C581" s="34"/>
      <c r="F581" s="10"/>
    </row>
    <row r="582">
      <c r="C582" s="34"/>
      <c r="F582" s="10"/>
    </row>
    <row r="583">
      <c r="C583" s="34"/>
      <c r="F583" s="10"/>
    </row>
    <row r="584">
      <c r="C584" s="34"/>
      <c r="F584" s="10"/>
    </row>
    <row r="585">
      <c r="C585" s="34"/>
      <c r="F585" s="10"/>
    </row>
    <row r="586">
      <c r="C586" s="34"/>
      <c r="F586" s="10"/>
    </row>
    <row r="587">
      <c r="C587" s="34"/>
      <c r="F587" s="10"/>
    </row>
    <row r="588">
      <c r="C588" s="34"/>
      <c r="F588" s="10"/>
    </row>
    <row r="589">
      <c r="C589" s="34"/>
      <c r="F589" s="10"/>
    </row>
    <row r="590">
      <c r="C590" s="34"/>
      <c r="F590" s="10"/>
    </row>
    <row r="591">
      <c r="C591" s="34"/>
      <c r="F591" s="10"/>
    </row>
    <row r="592">
      <c r="C592" s="34"/>
      <c r="F592" s="10"/>
    </row>
    <row r="593">
      <c r="C593" s="34"/>
      <c r="F593" s="10"/>
    </row>
    <row r="594">
      <c r="C594" s="34"/>
      <c r="F594" s="10"/>
    </row>
    <row r="595">
      <c r="C595" s="34"/>
      <c r="F595" s="10"/>
    </row>
    <row r="596">
      <c r="C596" s="34"/>
      <c r="F596" s="10"/>
    </row>
    <row r="597">
      <c r="C597" s="34"/>
      <c r="F597" s="10"/>
    </row>
    <row r="598">
      <c r="C598" s="34"/>
      <c r="F598" s="10"/>
    </row>
    <row r="599">
      <c r="C599" s="34"/>
      <c r="F599" s="10"/>
    </row>
    <row r="600">
      <c r="C600" s="34"/>
      <c r="F600" s="10"/>
    </row>
    <row r="601">
      <c r="C601" s="34"/>
      <c r="F601" s="10"/>
    </row>
    <row r="602">
      <c r="C602" s="34"/>
      <c r="F602" s="10"/>
    </row>
    <row r="603">
      <c r="C603" s="34"/>
      <c r="F603" s="10"/>
    </row>
    <row r="604">
      <c r="C604" s="34"/>
      <c r="F604" s="10"/>
    </row>
    <row r="605">
      <c r="C605" s="34"/>
      <c r="F605" s="10"/>
    </row>
    <row r="606">
      <c r="C606" s="34"/>
      <c r="F606" s="10"/>
    </row>
    <row r="607">
      <c r="C607" s="34"/>
      <c r="F607" s="10"/>
    </row>
    <row r="608">
      <c r="C608" s="34"/>
      <c r="F608" s="10"/>
    </row>
    <row r="609">
      <c r="C609" s="34"/>
      <c r="F609" s="10"/>
    </row>
    <row r="610">
      <c r="C610" s="34"/>
      <c r="F610" s="10"/>
    </row>
    <row r="611">
      <c r="C611" s="34"/>
      <c r="F611" s="10"/>
    </row>
    <row r="612">
      <c r="C612" s="34"/>
      <c r="F612" s="10"/>
    </row>
    <row r="613">
      <c r="C613" s="34"/>
      <c r="F613" s="10"/>
    </row>
    <row r="614">
      <c r="C614" s="34"/>
      <c r="F614" s="10"/>
    </row>
    <row r="615">
      <c r="C615" s="34"/>
      <c r="F615" s="10"/>
    </row>
    <row r="616">
      <c r="C616" s="34"/>
      <c r="F616" s="10"/>
    </row>
    <row r="617">
      <c r="C617" s="34"/>
      <c r="F617" s="10"/>
    </row>
    <row r="618">
      <c r="C618" s="34"/>
      <c r="F618" s="10"/>
    </row>
    <row r="619">
      <c r="C619" s="34"/>
      <c r="F619" s="10"/>
    </row>
    <row r="620">
      <c r="C620" s="34"/>
      <c r="F620" s="10"/>
    </row>
    <row r="621">
      <c r="C621" s="34"/>
      <c r="F621" s="10"/>
    </row>
    <row r="622">
      <c r="C622" s="34"/>
      <c r="F622" s="10"/>
    </row>
    <row r="623">
      <c r="C623" s="34"/>
      <c r="F623" s="10"/>
    </row>
    <row r="624">
      <c r="C624" s="34"/>
      <c r="F624" s="10"/>
    </row>
    <row r="625">
      <c r="C625" s="34"/>
      <c r="F625" s="10"/>
    </row>
    <row r="626">
      <c r="C626" s="34"/>
      <c r="F626" s="10"/>
    </row>
    <row r="627">
      <c r="C627" s="34"/>
      <c r="F627" s="10"/>
    </row>
    <row r="628">
      <c r="C628" s="34"/>
      <c r="F628" s="10"/>
    </row>
    <row r="629">
      <c r="C629" s="34"/>
      <c r="F629" s="10"/>
    </row>
    <row r="630">
      <c r="C630" s="34"/>
      <c r="F630" s="10"/>
    </row>
    <row r="631">
      <c r="C631" s="34"/>
      <c r="F631" s="10"/>
    </row>
    <row r="632">
      <c r="C632" s="34"/>
      <c r="F632" s="10"/>
    </row>
    <row r="633">
      <c r="C633" s="34"/>
      <c r="F633" s="10"/>
    </row>
    <row r="634">
      <c r="C634" s="34"/>
      <c r="F634" s="10"/>
    </row>
    <row r="635">
      <c r="C635" s="34"/>
      <c r="F635" s="10"/>
    </row>
    <row r="636">
      <c r="C636" s="34"/>
      <c r="F636" s="10"/>
    </row>
    <row r="637">
      <c r="C637" s="34"/>
      <c r="F637" s="10"/>
    </row>
    <row r="638">
      <c r="C638" s="34"/>
      <c r="F638" s="10"/>
    </row>
    <row r="639">
      <c r="C639" s="34"/>
      <c r="F639" s="10"/>
    </row>
    <row r="640">
      <c r="C640" s="34"/>
      <c r="F640" s="10"/>
    </row>
    <row r="641">
      <c r="C641" s="34"/>
      <c r="F641" s="10"/>
    </row>
    <row r="642">
      <c r="C642" s="34"/>
      <c r="F642" s="10"/>
    </row>
    <row r="643">
      <c r="C643" s="34"/>
      <c r="F643" s="10"/>
    </row>
    <row r="644">
      <c r="C644" s="34"/>
      <c r="F644" s="10"/>
    </row>
    <row r="645">
      <c r="C645" s="34"/>
      <c r="F645" s="10"/>
    </row>
    <row r="646">
      <c r="C646" s="34"/>
      <c r="F646" s="10"/>
    </row>
    <row r="647">
      <c r="C647" s="34"/>
      <c r="F647" s="10"/>
    </row>
    <row r="648">
      <c r="C648" s="34"/>
      <c r="F648" s="10"/>
    </row>
    <row r="649">
      <c r="C649" s="34"/>
      <c r="F649" s="10"/>
    </row>
    <row r="650">
      <c r="C650" s="34"/>
      <c r="F650" s="10"/>
    </row>
    <row r="651">
      <c r="C651" s="34"/>
      <c r="F651" s="10"/>
    </row>
    <row r="652">
      <c r="C652" s="34"/>
      <c r="F652" s="10"/>
    </row>
    <row r="653">
      <c r="C653" s="34"/>
      <c r="F653" s="10"/>
    </row>
    <row r="654">
      <c r="C654" s="34"/>
      <c r="F654" s="10"/>
    </row>
    <row r="655">
      <c r="C655" s="34"/>
      <c r="F655" s="10"/>
    </row>
    <row r="656">
      <c r="C656" s="34"/>
      <c r="F656" s="10"/>
    </row>
    <row r="657">
      <c r="C657" s="34"/>
      <c r="F657" s="10"/>
    </row>
    <row r="658">
      <c r="C658" s="34"/>
      <c r="F658" s="10"/>
    </row>
    <row r="659">
      <c r="C659" s="34"/>
      <c r="F659" s="10"/>
    </row>
    <row r="660">
      <c r="C660" s="34"/>
      <c r="F660" s="10"/>
    </row>
    <row r="661">
      <c r="C661" s="34"/>
      <c r="F661" s="10"/>
    </row>
    <row r="662">
      <c r="C662" s="34"/>
      <c r="F662" s="10"/>
    </row>
    <row r="663">
      <c r="C663" s="34"/>
      <c r="F663" s="10"/>
    </row>
    <row r="664">
      <c r="C664" s="34"/>
      <c r="F664" s="10"/>
    </row>
    <row r="665">
      <c r="C665" s="34"/>
      <c r="F665" s="10"/>
    </row>
    <row r="666">
      <c r="C666" s="34"/>
      <c r="F666" s="10"/>
    </row>
    <row r="667">
      <c r="C667" s="34"/>
      <c r="F667" s="10"/>
    </row>
    <row r="668">
      <c r="C668" s="34"/>
      <c r="F668" s="10"/>
    </row>
    <row r="669">
      <c r="C669" s="34"/>
      <c r="F669" s="10"/>
    </row>
    <row r="670">
      <c r="C670" s="34"/>
      <c r="F670" s="10"/>
    </row>
    <row r="671">
      <c r="C671" s="34"/>
      <c r="F671" s="10"/>
    </row>
    <row r="672">
      <c r="C672" s="34"/>
      <c r="F672" s="10"/>
    </row>
    <row r="673">
      <c r="C673" s="34"/>
      <c r="F673" s="10"/>
    </row>
    <row r="674">
      <c r="C674" s="34"/>
      <c r="F674" s="10"/>
    </row>
    <row r="675">
      <c r="C675" s="34"/>
      <c r="F675" s="10"/>
    </row>
    <row r="676">
      <c r="C676" s="34"/>
      <c r="F676" s="10"/>
    </row>
    <row r="677">
      <c r="C677" s="34"/>
      <c r="F677" s="10"/>
    </row>
    <row r="678">
      <c r="C678" s="34"/>
      <c r="F678" s="10"/>
    </row>
    <row r="679">
      <c r="C679" s="34"/>
      <c r="F679" s="10"/>
    </row>
    <row r="680">
      <c r="C680" s="34"/>
      <c r="F680" s="10"/>
    </row>
    <row r="681">
      <c r="C681" s="34"/>
      <c r="F681" s="10"/>
    </row>
    <row r="682">
      <c r="C682" s="34"/>
      <c r="F682" s="10"/>
    </row>
    <row r="683">
      <c r="C683" s="34"/>
      <c r="F683" s="10"/>
    </row>
    <row r="684">
      <c r="C684" s="34"/>
      <c r="F684" s="10"/>
    </row>
    <row r="685">
      <c r="C685" s="34"/>
      <c r="F685" s="10"/>
    </row>
    <row r="686">
      <c r="C686" s="34"/>
      <c r="F686" s="10"/>
    </row>
    <row r="687">
      <c r="C687" s="34"/>
      <c r="F687" s="10"/>
    </row>
    <row r="688">
      <c r="C688" s="34"/>
      <c r="F688" s="10"/>
    </row>
    <row r="689">
      <c r="C689" s="34"/>
      <c r="F689" s="10"/>
    </row>
    <row r="690">
      <c r="C690" s="34"/>
      <c r="F690" s="10"/>
    </row>
    <row r="691">
      <c r="C691" s="34"/>
      <c r="F691" s="10"/>
    </row>
    <row r="692">
      <c r="C692" s="34"/>
      <c r="F692" s="10"/>
    </row>
    <row r="693">
      <c r="C693" s="34"/>
      <c r="F693" s="10"/>
    </row>
    <row r="694">
      <c r="C694" s="34"/>
      <c r="F694" s="10"/>
    </row>
    <row r="695">
      <c r="C695" s="34"/>
      <c r="F695" s="10"/>
    </row>
    <row r="696">
      <c r="C696" s="34"/>
      <c r="F696" s="10"/>
    </row>
    <row r="697">
      <c r="C697" s="34"/>
      <c r="F697" s="10"/>
    </row>
    <row r="698">
      <c r="C698" s="34"/>
      <c r="F698" s="10"/>
    </row>
    <row r="699">
      <c r="C699" s="34"/>
      <c r="F699" s="10"/>
    </row>
    <row r="700">
      <c r="C700" s="34"/>
      <c r="F700" s="10"/>
    </row>
    <row r="701">
      <c r="C701" s="34"/>
      <c r="F701" s="10"/>
    </row>
    <row r="702">
      <c r="C702" s="34"/>
      <c r="F702" s="10"/>
    </row>
    <row r="703">
      <c r="C703" s="34"/>
      <c r="F703" s="10"/>
    </row>
    <row r="704">
      <c r="C704" s="34"/>
      <c r="F704" s="10"/>
    </row>
    <row r="705">
      <c r="C705" s="34"/>
      <c r="F705" s="10"/>
    </row>
    <row r="706">
      <c r="C706" s="34"/>
      <c r="F706" s="10"/>
    </row>
    <row r="707">
      <c r="C707" s="34"/>
      <c r="F707" s="10"/>
    </row>
    <row r="708">
      <c r="C708" s="34"/>
      <c r="F708" s="10"/>
    </row>
    <row r="709">
      <c r="C709" s="34"/>
      <c r="F709" s="10"/>
    </row>
    <row r="710">
      <c r="C710" s="34"/>
      <c r="F710" s="10"/>
    </row>
    <row r="711">
      <c r="C711" s="34"/>
      <c r="F711" s="10"/>
    </row>
    <row r="712">
      <c r="C712" s="34"/>
      <c r="F712" s="10"/>
    </row>
    <row r="713">
      <c r="C713" s="34"/>
      <c r="F713" s="10"/>
    </row>
    <row r="714">
      <c r="C714" s="34"/>
      <c r="F714" s="10"/>
    </row>
    <row r="715">
      <c r="C715" s="34"/>
      <c r="F715" s="10"/>
    </row>
    <row r="716">
      <c r="C716" s="34"/>
      <c r="F716" s="10"/>
    </row>
    <row r="717">
      <c r="C717" s="34"/>
      <c r="F717" s="10"/>
    </row>
    <row r="718">
      <c r="C718" s="34"/>
      <c r="F718" s="10"/>
    </row>
    <row r="719">
      <c r="C719" s="34"/>
      <c r="F719" s="10"/>
    </row>
    <row r="720">
      <c r="C720" s="34"/>
      <c r="F720" s="10"/>
    </row>
    <row r="721">
      <c r="C721" s="34"/>
      <c r="F721" s="10"/>
    </row>
    <row r="722">
      <c r="C722" s="34"/>
      <c r="F722" s="10"/>
    </row>
    <row r="723">
      <c r="C723" s="34"/>
      <c r="F723" s="10"/>
    </row>
    <row r="724">
      <c r="C724" s="34"/>
      <c r="F724" s="10"/>
    </row>
    <row r="725">
      <c r="C725" s="34"/>
      <c r="F725" s="10"/>
    </row>
    <row r="726">
      <c r="C726" s="34"/>
      <c r="F726" s="10"/>
    </row>
    <row r="727">
      <c r="C727" s="34"/>
      <c r="F727" s="10"/>
    </row>
    <row r="728">
      <c r="C728" s="34"/>
      <c r="F728" s="10"/>
    </row>
    <row r="729">
      <c r="C729" s="34"/>
      <c r="F729" s="10"/>
    </row>
    <row r="730">
      <c r="C730" s="34"/>
      <c r="F730" s="10"/>
    </row>
    <row r="731">
      <c r="C731" s="34"/>
      <c r="F731" s="10"/>
    </row>
    <row r="732">
      <c r="C732" s="34"/>
      <c r="F732" s="10"/>
    </row>
    <row r="733">
      <c r="C733" s="34"/>
      <c r="F733" s="10"/>
    </row>
    <row r="734">
      <c r="C734" s="34"/>
      <c r="F734" s="10"/>
    </row>
    <row r="735">
      <c r="C735" s="34"/>
      <c r="F735" s="10"/>
    </row>
    <row r="736">
      <c r="C736" s="34"/>
      <c r="F736" s="10"/>
    </row>
    <row r="737">
      <c r="C737" s="34"/>
      <c r="F737" s="10"/>
    </row>
    <row r="738">
      <c r="C738" s="34"/>
      <c r="F738" s="10"/>
    </row>
    <row r="739">
      <c r="C739" s="34"/>
      <c r="F739" s="10"/>
    </row>
    <row r="740">
      <c r="C740" s="34"/>
      <c r="F740" s="10"/>
    </row>
    <row r="741">
      <c r="C741" s="34"/>
      <c r="F741" s="10"/>
    </row>
    <row r="742">
      <c r="C742" s="34"/>
      <c r="F742" s="10"/>
    </row>
    <row r="743">
      <c r="C743" s="34"/>
      <c r="F743" s="10"/>
    </row>
    <row r="744">
      <c r="C744" s="34"/>
      <c r="F744" s="10"/>
    </row>
    <row r="745">
      <c r="C745" s="34"/>
      <c r="F745" s="10"/>
    </row>
    <row r="746">
      <c r="C746" s="34"/>
      <c r="F746" s="10"/>
    </row>
    <row r="747">
      <c r="C747" s="34"/>
      <c r="F747" s="10"/>
    </row>
    <row r="748">
      <c r="C748" s="34"/>
      <c r="F748" s="10"/>
    </row>
    <row r="749">
      <c r="C749" s="34"/>
      <c r="F749" s="10"/>
    </row>
    <row r="750">
      <c r="C750" s="34"/>
      <c r="F750" s="10"/>
    </row>
    <row r="751">
      <c r="C751" s="34"/>
      <c r="F751" s="10"/>
    </row>
    <row r="752">
      <c r="C752" s="34"/>
      <c r="F752" s="10"/>
    </row>
    <row r="753">
      <c r="C753" s="34"/>
      <c r="F753" s="10"/>
    </row>
    <row r="754">
      <c r="C754" s="34"/>
      <c r="F754" s="10"/>
    </row>
    <row r="755">
      <c r="C755" s="34"/>
      <c r="F755" s="10"/>
    </row>
    <row r="756">
      <c r="C756" s="34"/>
      <c r="F756" s="10"/>
    </row>
    <row r="757">
      <c r="C757" s="34"/>
      <c r="F757" s="10"/>
    </row>
    <row r="758">
      <c r="C758" s="34"/>
      <c r="F758" s="10"/>
    </row>
    <row r="759">
      <c r="C759" s="34"/>
      <c r="F759" s="10"/>
    </row>
    <row r="760">
      <c r="C760" s="34"/>
      <c r="F760" s="10"/>
    </row>
    <row r="761">
      <c r="C761" s="34"/>
      <c r="F761" s="10"/>
    </row>
    <row r="762">
      <c r="C762" s="34"/>
      <c r="F762" s="10"/>
    </row>
    <row r="763">
      <c r="C763" s="34"/>
      <c r="F763" s="10"/>
    </row>
    <row r="764">
      <c r="C764" s="34"/>
      <c r="F764" s="10"/>
    </row>
    <row r="765">
      <c r="C765" s="34"/>
      <c r="F765" s="10"/>
    </row>
    <row r="766">
      <c r="C766" s="34"/>
      <c r="F766" s="10"/>
    </row>
    <row r="767">
      <c r="C767" s="34"/>
      <c r="F767" s="10"/>
    </row>
    <row r="768">
      <c r="C768" s="34"/>
      <c r="F768" s="10"/>
    </row>
    <row r="769">
      <c r="C769" s="34"/>
      <c r="F769" s="10"/>
    </row>
    <row r="770">
      <c r="C770" s="34"/>
      <c r="F770" s="10"/>
    </row>
    <row r="771">
      <c r="C771" s="34"/>
      <c r="F771" s="10"/>
    </row>
    <row r="772">
      <c r="C772" s="34"/>
      <c r="F772" s="10"/>
    </row>
    <row r="773">
      <c r="C773" s="34"/>
      <c r="F773" s="10"/>
    </row>
    <row r="774">
      <c r="C774" s="34"/>
      <c r="F774" s="10"/>
    </row>
    <row r="775">
      <c r="C775" s="34"/>
      <c r="F775" s="10"/>
    </row>
    <row r="776">
      <c r="C776" s="34"/>
      <c r="F776" s="10"/>
    </row>
    <row r="777">
      <c r="C777" s="34"/>
      <c r="F777" s="10"/>
    </row>
    <row r="778">
      <c r="C778" s="34"/>
      <c r="F778" s="10"/>
    </row>
    <row r="779">
      <c r="C779" s="34"/>
      <c r="F779" s="10"/>
    </row>
    <row r="780">
      <c r="C780" s="34"/>
      <c r="F780" s="10"/>
    </row>
    <row r="781">
      <c r="C781" s="34"/>
      <c r="F781" s="10"/>
    </row>
    <row r="782">
      <c r="C782" s="34"/>
      <c r="F782" s="10"/>
    </row>
    <row r="783">
      <c r="C783" s="34"/>
      <c r="F783" s="10"/>
    </row>
    <row r="784">
      <c r="C784" s="34"/>
      <c r="F784" s="10"/>
    </row>
    <row r="785">
      <c r="C785" s="34"/>
      <c r="F785" s="10"/>
    </row>
    <row r="786">
      <c r="C786" s="34"/>
      <c r="F786" s="10"/>
    </row>
    <row r="787">
      <c r="C787" s="34"/>
      <c r="F787" s="10"/>
    </row>
    <row r="788">
      <c r="C788" s="34"/>
      <c r="F788" s="10"/>
    </row>
    <row r="789">
      <c r="C789" s="34"/>
      <c r="F789" s="10"/>
    </row>
    <row r="790">
      <c r="C790" s="34"/>
      <c r="F790" s="10"/>
    </row>
    <row r="791">
      <c r="C791" s="34"/>
      <c r="F791" s="10"/>
    </row>
    <row r="792">
      <c r="C792" s="34"/>
      <c r="F792" s="10"/>
    </row>
    <row r="793">
      <c r="C793" s="34"/>
      <c r="F793" s="10"/>
    </row>
    <row r="794">
      <c r="C794" s="34"/>
      <c r="F794" s="10"/>
    </row>
    <row r="795">
      <c r="C795" s="34"/>
      <c r="F795" s="10"/>
    </row>
    <row r="796">
      <c r="C796" s="34"/>
      <c r="F796" s="10"/>
    </row>
    <row r="797">
      <c r="C797" s="34"/>
      <c r="F797" s="10"/>
    </row>
    <row r="798">
      <c r="C798" s="34"/>
      <c r="F798" s="10"/>
    </row>
    <row r="799">
      <c r="C799" s="34"/>
      <c r="F799" s="10"/>
    </row>
    <row r="800">
      <c r="C800" s="34"/>
      <c r="F800" s="10"/>
    </row>
    <row r="801">
      <c r="C801" s="34"/>
      <c r="F801" s="10"/>
    </row>
    <row r="802">
      <c r="C802" s="34"/>
      <c r="F802" s="10"/>
    </row>
    <row r="803">
      <c r="C803" s="34"/>
      <c r="F803" s="10"/>
    </row>
    <row r="804">
      <c r="C804" s="34"/>
      <c r="F804" s="10"/>
    </row>
    <row r="805">
      <c r="C805" s="34"/>
      <c r="F805" s="10"/>
    </row>
    <row r="806">
      <c r="C806" s="34"/>
      <c r="F806" s="10"/>
    </row>
    <row r="807">
      <c r="C807" s="34"/>
      <c r="F807" s="10"/>
    </row>
    <row r="808">
      <c r="C808" s="34"/>
      <c r="F808" s="10"/>
    </row>
    <row r="809">
      <c r="C809" s="34"/>
      <c r="F809" s="10"/>
    </row>
    <row r="810">
      <c r="C810" s="34"/>
      <c r="F810" s="10"/>
    </row>
    <row r="811">
      <c r="C811" s="34"/>
      <c r="F811" s="10"/>
    </row>
    <row r="812">
      <c r="C812" s="34"/>
      <c r="F812" s="10"/>
    </row>
    <row r="813">
      <c r="C813" s="34"/>
      <c r="F813" s="10"/>
    </row>
    <row r="814">
      <c r="C814" s="34"/>
      <c r="F814" s="10"/>
    </row>
    <row r="815">
      <c r="C815" s="34"/>
      <c r="F815" s="10"/>
    </row>
    <row r="816">
      <c r="C816" s="34"/>
      <c r="F816" s="10"/>
    </row>
    <row r="817">
      <c r="C817" s="34"/>
      <c r="F817" s="10"/>
    </row>
    <row r="818">
      <c r="C818" s="34"/>
      <c r="F818" s="10"/>
    </row>
    <row r="819">
      <c r="C819" s="34"/>
      <c r="F819" s="10"/>
    </row>
    <row r="820">
      <c r="C820" s="34"/>
      <c r="F820" s="10"/>
    </row>
    <row r="821">
      <c r="C821" s="34"/>
      <c r="F821" s="10"/>
    </row>
    <row r="822">
      <c r="C822" s="34"/>
      <c r="F822" s="10"/>
    </row>
    <row r="823">
      <c r="C823" s="34"/>
      <c r="F823" s="10"/>
    </row>
    <row r="824">
      <c r="C824" s="34"/>
      <c r="F824" s="10"/>
    </row>
    <row r="825">
      <c r="C825" s="34"/>
      <c r="F825" s="10"/>
    </row>
    <row r="826">
      <c r="C826" s="34"/>
      <c r="F826" s="10"/>
    </row>
    <row r="827">
      <c r="C827" s="34"/>
      <c r="F827" s="10"/>
    </row>
    <row r="828">
      <c r="C828" s="34"/>
      <c r="F828" s="10"/>
    </row>
    <row r="829">
      <c r="C829" s="34"/>
      <c r="F829" s="10"/>
    </row>
    <row r="830">
      <c r="C830" s="34"/>
      <c r="F830" s="10"/>
    </row>
    <row r="831">
      <c r="C831" s="34"/>
      <c r="F831" s="10"/>
    </row>
    <row r="832">
      <c r="C832" s="34"/>
      <c r="F832" s="10"/>
    </row>
    <row r="833">
      <c r="C833" s="34"/>
      <c r="F833" s="10"/>
    </row>
    <row r="834">
      <c r="C834" s="34"/>
      <c r="F834" s="10"/>
    </row>
    <row r="835">
      <c r="C835" s="34"/>
      <c r="F835" s="10"/>
    </row>
    <row r="836">
      <c r="C836" s="34"/>
      <c r="F836" s="10"/>
    </row>
    <row r="837">
      <c r="C837" s="34"/>
      <c r="F837" s="10"/>
    </row>
    <row r="838">
      <c r="C838" s="34"/>
      <c r="F838" s="10"/>
    </row>
    <row r="839">
      <c r="C839" s="34"/>
      <c r="F839" s="10"/>
    </row>
    <row r="840">
      <c r="C840" s="34"/>
      <c r="F840" s="10"/>
    </row>
    <row r="841">
      <c r="C841" s="34"/>
      <c r="F841" s="10"/>
    </row>
    <row r="842">
      <c r="C842" s="34"/>
      <c r="F842" s="10"/>
    </row>
    <row r="843">
      <c r="C843" s="34"/>
      <c r="F843" s="10"/>
    </row>
    <row r="844">
      <c r="C844" s="34"/>
      <c r="F844" s="10"/>
    </row>
    <row r="845">
      <c r="C845" s="34"/>
      <c r="F845" s="10"/>
    </row>
    <row r="846">
      <c r="C846" s="34"/>
      <c r="F846" s="10"/>
    </row>
    <row r="847">
      <c r="C847" s="34"/>
      <c r="F847" s="10"/>
    </row>
    <row r="848">
      <c r="C848" s="34"/>
      <c r="F848" s="10"/>
    </row>
    <row r="849">
      <c r="C849" s="34"/>
      <c r="F849" s="10"/>
    </row>
    <row r="850">
      <c r="C850" s="34"/>
      <c r="F850" s="10"/>
    </row>
    <row r="851">
      <c r="C851" s="34"/>
      <c r="F851" s="10"/>
    </row>
    <row r="852">
      <c r="C852" s="34"/>
      <c r="F852" s="10"/>
    </row>
    <row r="853">
      <c r="C853" s="34"/>
      <c r="F853" s="10"/>
    </row>
    <row r="854">
      <c r="C854" s="34"/>
      <c r="F854" s="10"/>
    </row>
    <row r="855">
      <c r="C855" s="34"/>
      <c r="F855" s="10"/>
    </row>
    <row r="856">
      <c r="C856" s="34"/>
      <c r="F856" s="10"/>
    </row>
    <row r="857">
      <c r="C857" s="34"/>
      <c r="F857" s="10"/>
    </row>
    <row r="858">
      <c r="C858" s="34"/>
      <c r="F858" s="10"/>
    </row>
    <row r="859">
      <c r="C859" s="34"/>
      <c r="F859" s="10"/>
    </row>
    <row r="860">
      <c r="C860" s="34"/>
      <c r="F860" s="10"/>
    </row>
    <row r="861">
      <c r="C861" s="34"/>
      <c r="F861" s="10"/>
    </row>
    <row r="862">
      <c r="C862" s="34"/>
      <c r="F862" s="10"/>
    </row>
    <row r="863">
      <c r="C863" s="34"/>
      <c r="F863" s="10"/>
    </row>
    <row r="864">
      <c r="C864" s="34"/>
      <c r="F864" s="10"/>
    </row>
    <row r="865">
      <c r="C865" s="34"/>
      <c r="F865" s="10"/>
    </row>
    <row r="866">
      <c r="C866" s="34"/>
      <c r="F866" s="10"/>
    </row>
    <row r="867">
      <c r="C867" s="34"/>
      <c r="F867" s="10"/>
    </row>
    <row r="868">
      <c r="C868" s="34"/>
      <c r="F868" s="10"/>
    </row>
    <row r="869">
      <c r="C869" s="34"/>
      <c r="F869" s="10"/>
    </row>
    <row r="870">
      <c r="C870" s="34"/>
      <c r="F870" s="10"/>
    </row>
    <row r="871">
      <c r="C871" s="34"/>
      <c r="F871" s="10"/>
    </row>
    <row r="872">
      <c r="C872" s="34"/>
      <c r="F872" s="10"/>
    </row>
    <row r="873">
      <c r="C873" s="34"/>
      <c r="F873" s="10"/>
    </row>
    <row r="874">
      <c r="C874" s="34"/>
      <c r="F874" s="10"/>
    </row>
    <row r="875">
      <c r="C875" s="34"/>
      <c r="F875" s="10"/>
    </row>
    <row r="876">
      <c r="C876" s="34"/>
      <c r="F876" s="10"/>
    </row>
    <row r="877">
      <c r="C877" s="34"/>
      <c r="F877" s="10"/>
    </row>
    <row r="878">
      <c r="C878" s="34"/>
      <c r="F878" s="10"/>
    </row>
    <row r="879">
      <c r="C879" s="34"/>
      <c r="F879" s="10"/>
    </row>
    <row r="880">
      <c r="C880" s="34"/>
      <c r="F880" s="10"/>
    </row>
    <row r="881">
      <c r="C881" s="34"/>
      <c r="F881" s="10"/>
    </row>
    <row r="882">
      <c r="C882" s="34"/>
      <c r="F882" s="10"/>
    </row>
    <row r="883">
      <c r="C883" s="34"/>
      <c r="F883" s="10"/>
    </row>
    <row r="884">
      <c r="C884" s="34"/>
      <c r="F884" s="10"/>
    </row>
    <row r="885">
      <c r="C885" s="34"/>
      <c r="F885" s="10"/>
    </row>
    <row r="886">
      <c r="C886" s="34"/>
      <c r="F886" s="10"/>
    </row>
    <row r="887">
      <c r="C887" s="34"/>
      <c r="F887" s="10"/>
    </row>
    <row r="888">
      <c r="C888" s="34"/>
      <c r="F888" s="10"/>
    </row>
    <row r="889">
      <c r="C889" s="34"/>
      <c r="F889" s="10"/>
    </row>
    <row r="890">
      <c r="C890" s="34"/>
      <c r="F890" s="10"/>
    </row>
    <row r="891">
      <c r="C891" s="34"/>
      <c r="F891" s="10"/>
    </row>
    <row r="892">
      <c r="C892" s="34"/>
      <c r="F892" s="10"/>
    </row>
    <row r="893">
      <c r="C893" s="34"/>
      <c r="F893" s="10"/>
    </row>
    <row r="894">
      <c r="C894" s="34"/>
      <c r="F894" s="10"/>
    </row>
    <row r="895">
      <c r="C895" s="34"/>
      <c r="F895" s="10"/>
    </row>
    <row r="896">
      <c r="C896" s="34"/>
      <c r="F896" s="10"/>
    </row>
    <row r="897">
      <c r="C897" s="34"/>
      <c r="F897" s="10"/>
    </row>
    <row r="898">
      <c r="C898" s="34"/>
      <c r="F898" s="10"/>
    </row>
    <row r="899">
      <c r="C899" s="34"/>
      <c r="F899" s="10"/>
    </row>
    <row r="900">
      <c r="C900" s="34"/>
      <c r="F900" s="10"/>
    </row>
    <row r="901">
      <c r="C901" s="34"/>
      <c r="F901" s="10"/>
    </row>
    <row r="902">
      <c r="C902" s="34"/>
      <c r="F902" s="10"/>
    </row>
    <row r="903">
      <c r="C903" s="34"/>
      <c r="F903" s="10"/>
    </row>
    <row r="904">
      <c r="C904" s="34"/>
      <c r="F904" s="10"/>
    </row>
    <row r="905">
      <c r="C905" s="34"/>
      <c r="F905" s="10"/>
    </row>
    <row r="906">
      <c r="C906" s="34"/>
      <c r="F906" s="10"/>
    </row>
    <row r="907">
      <c r="C907" s="34"/>
      <c r="F907" s="10"/>
    </row>
    <row r="908">
      <c r="C908" s="34"/>
      <c r="F908" s="10"/>
    </row>
    <row r="909">
      <c r="C909" s="34"/>
      <c r="F909" s="10"/>
    </row>
    <row r="910">
      <c r="C910" s="34"/>
      <c r="F910" s="10"/>
    </row>
    <row r="911">
      <c r="C911" s="34"/>
      <c r="F911" s="10"/>
    </row>
    <row r="912">
      <c r="C912" s="34"/>
      <c r="F912" s="10"/>
    </row>
    <row r="913">
      <c r="C913" s="34"/>
      <c r="F913" s="10"/>
    </row>
    <row r="914">
      <c r="C914" s="34"/>
      <c r="F914" s="10"/>
    </row>
    <row r="915">
      <c r="C915" s="34"/>
      <c r="F915" s="10"/>
    </row>
    <row r="916">
      <c r="C916" s="34"/>
      <c r="F916" s="10"/>
    </row>
    <row r="917">
      <c r="C917" s="34"/>
      <c r="F917" s="10"/>
    </row>
    <row r="918">
      <c r="C918" s="34"/>
      <c r="F918" s="10"/>
    </row>
    <row r="919">
      <c r="C919" s="34"/>
      <c r="F919" s="10"/>
    </row>
    <row r="920">
      <c r="C920" s="34"/>
      <c r="F920" s="10"/>
    </row>
    <row r="921">
      <c r="C921" s="34"/>
      <c r="F921" s="10"/>
    </row>
    <row r="922">
      <c r="C922" s="34"/>
      <c r="F922" s="10"/>
    </row>
    <row r="923">
      <c r="C923" s="34"/>
      <c r="F923" s="10"/>
    </row>
    <row r="924">
      <c r="C924" s="34"/>
      <c r="F924" s="10"/>
    </row>
    <row r="925">
      <c r="C925" s="34"/>
      <c r="F925" s="10"/>
    </row>
    <row r="926">
      <c r="C926" s="34"/>
      <c r="F926" s="10"/>
    </row>
    <row r="927">
      <c r="C927" s="34"/>
      <c r="F927" s="10"/>
    </row>
    <row r="928">
      <c r="C928" s="34"/>
      <c r="F928" s="10"/>
    </row>
    <row r="929">
      <c r="C929" s="34"/>
      <c r="F929" s="10"/>
    </row>
    <row r="930">
      <c r="C930" s="34"/>
      <c r="F930" s="10"/>
    </row>
    <row r="931">
      <c r="C931" s="34"/>
      <c r="F931" s="10"/>
    </row>
    <row r="932">
      <c r="C932" s="34"/>
      <c r="F932" s="10"/>
    </row>
    <row r="933">
      <c r="C933" s="34"/>
      <c r="F933" s="10"/>
    </row>
    <row r="934">
      <c r="C934" s="34"/>
      <c r="F934" s="10"/>
    </row>
    <row r="935">
      <c r="C935" s="34"/>
      <c r="F935" s="10"/>
    </row>
    <row r="936">
      <c r="C936" s="34"/>
      <c r="F936" s="10"/>
    </row>
    <row r="937">
      <c r="C937" s="34"/>
      <c r="F937" s="10"/>
    </row>
    <row r="938">
      <c r="C938" s="34"/>
      <c r="F938" s="10"/>
    </row>
    <row r="939">
      <c r="C939" s="34"/>
      <c r="F939" s="10"/>
    </row>
    <row r="940">
      <c r="C940" s="34"/>
      <c r="F940" s="10"/>
    </row>
    <row r="941">
      <c r="C941" s="34"/>
      <c r="F941" s="10"/>
    </row>
    <row r="942">
      <c r="C942" s="34"/>
      <c r="F942" s="10"/>
    </row>
    <row r="943">
      <c r="C943" s="34"/>
      <c r="F943" s="10"/>
    </row>
    <row r="944">
      <c r="C944" s="34"/>
      <c r="F944" s="10"/>
    </row>
    <row r="945">
      <c r="C945" s="34"/>
      <c r="F945" s="10"/>
    </row>
    <row r="946">
      <c r="C946" s="34"/>
      <c r="F946" s="10"/>
    </row>
    <row r="947">
      <c r="C947" s="34"/>
      <c r="F947" s="10"/>
    </row>
    <row r="948">
      <c r="C948" s="34"/>
      <c r="F948" s="10"/>
    </row>
    <row r="949">
      <c r="C949" s="34"/>
      <c r="F949" s="10"/>
    </row>
    <row r="950">
      <c r="C950" s="34"/>
      <c r="F950" s="10"/>
    </row>
    <row r="951">
      <c r="C951" s="34"/>
      <c r="F951" s="10"/>
    </row>
    <row r="952">
      <c r="C952" s="34"/>
      <c r="F952" s="10"/>
    </row>
    <row r="953">
      <c r="C953" s="34"/>
      <c r="F953" s="10"/>
    </row>
    <row r="954">
      <c r="C954" s="34"/>
      <c r="F954" s="10"/>
    </row>
    <row r="955">
      <c r="C955" s="34"/>
      <c r="F955" s="10"/>
    </row>
    <row r="956">
      <c r="C956" s="34"/>
      <c r="F956" s="10"/>
    </row>
    <row r="957">
      <c r="C957" s="34"/>
      <c r="F957" s="10"/>
    </row>
    <row r="958">
      <c r="C958" s="34"/>
      <c r="F958" s="10"/>
    </row>
    <row r="959">
      <c r="C959" s="34"/>
      <c r="F959" s="10"/>
    </row>
    <row r="960">
      <c r="C960" s="34"/>
      <c r="F960" s="10"/>
    </row>
    <row r="961">
      <c r="C961" s="34"/>
      <c r="F961" s="10"/>
    </row>
    <row r="962">
      <c r="C962" s="34"/>
      <c r="F962" s="10"/>
    </row>
    <row r="963">
      <c r="C963" s="34"/>
      <c r="F963" s="10"/>
    </row>
    <row r="964">
      <c r="C964" s="34"/>
      <c r="F964" s="10"/>
    </row>
    <row r="965">
      <c r="C965" s="34"/>
      <c r="F965" s="10"/>
    </row>
    <row r="966">
      <c r="C966" s="34"/>
      <c r="F966" s="10"/>
    </row>
    <row r="967">
      <c r="C967" s="34"/>
      <c r="F967" s="10"/>
    </row>
    <row r="968">
      <c r="C968" s="34"/>
      <c r="F968" s="10"/>
    </row>
    <row r="969">
      <c r="C969" s="34"/>
      <c r="F969" s="10"/>
    </row>
    <row r="970">
      <c r="C970" s="34"/>
      <c r="F970" s="10"/>
    </row>
    <row r="971">
      <c r="C971" s="34"/>
      <c r="F971" s="10"/>
    </row>
    <row r="972">
      <c r="C972" s="34"/>
      <c r="F972" s="10"/>
    </row>
    <row r="973">
      <c r="C973" s="34"/>
      <c r="F973" s="10"/>
    </row>
    <row r="974">
      <c r="C974" s="34"/>
      <c r="F974" s="10"/>
    </row>
    <row r="975">
      <c r="C975" s="34"/>
      <c r="F975" s="10"/>
    </row>
    <row r="976">
      <c r="C976" s="34"/>
      <c r="F976" s="10"/>
    </row>
    <row r="977">
      <c r="C977" s="34"/>
      <c r="F977" s="10"/>
    </row>
    <row r="978">
      <c r="C978" s="34"/>
      <c r="F978" s="10"/>
    </row>
    <row r="979">
      <c r="C979" s="34"/>
      <c r="F979" s="10"/>
    </row>
    <row r="980">
      <c r="C980" s="34"/>
      <c r="F980" s="10"/>
    </row>
    <row r="981">
      <c r="C981" s="34"/>
      <c r="F981" s="10"/>
    </row>
    <row r="982">
      <c r="C982" s="34"/>
      <c r="F982" s="10"/>
    </row>
    <row r="983">
      <c r="C983" s="34"/>
      <c r="F983" s="10"/>
    </row>
    <row r="984">
      <c r="C984" s="34"/>
      <c r="F984" s="10"/>
    </row>
    <row r="985">
      <c r="C985" s="34"/>
      <c r="F985" s="10"/>
    </row>
    <row r="986">
      <c r="C986" s="34"/>
      <c r="F986" s="10"/>
    </row>
    <row r="987">
      <c r="C987" s="34"/>
      <c r="F987" s="10"/>
    </row>
    <row r="988">
      <c r="C988" s="34"/>
      <c r="F988" s="10"/>
    </row>
    <row r="989">
      <c r="C989" s="34"/>
      <c r="F989" s="10"/>
    </row>
    <row r="990">
      <c r="C990" s="34"/>
      <c r="F990" s="10"/>
    </row>
    <row r="991">
      <c r="C991" s="34"/>
      <c r="F991" s="10"/>
    </row>
    <row r="992">
      <c r="C992" s="34"/>
      <c r="F992" s="10"/>
    </row>
    <row r="993">
      <c r="C993" s="34"/>
      <c r="F993" s="10"/>
    </row>
    <row r="994">
      <c r="C994" s="34"/>
      <c r="F994" s="10"/>
    </row>
    <row r="995">
      <c r="C995" s="34"/>
      <c r="F995" s="10"/>
    </row>
    <row r="996">
      <c r="C996" s="34"/>
      <c r="F996" s="10"/>
    </row>
    <row r="997">
      <c r="C997" s="34"/>
      <c r="F997" s="10"/>
    </row>
    <row r="998">
      <c r="C998" s="34"/>
      <c r="F998" s="10"/>
    </row>
    <row r="999">
      <c r="C999" s="34"/>
      <c r="F999" s="1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v>
      </c>
      <c r="B1" s="1" t="s">
        <v>43</v>
      </c>
      <c r="C1" s="1" t="s">
        <v>44</v>
      </c>
      <c r="D1" s="1" t="s">
        <v>45</v>
      </c>
      <c r="E1" s="1" t="s">
        <v>46</v>
      </c>
      <c r="F1" s="1" t="s">
        <v>47</v>
      </c>
      <c r="G1" s="1" t="s">
        <v>48</v>
      </c>
    </row>
    <row r="2">
      <c r="A2" s="35">
        <v>45658.0</v>
      </c>
      <c r="B2" s="4">
        <v>37761.0</v>
      </c>
      <c r="C2" s="4">
        <v>685.0</v>
      </c>
      <c r="D2" s="36">
        <v>519.0</v>
      </c>
      <c r="E2" s="4">
        <v>11.0</v>
      </c>
      <c r="F2" s="36">
        <v>1711.0</v>
      </c>
      <c r="G2" s="1">
        <f t="shared" ref="G2:G366" si="1">MONTH(A2)</f>
        <v>1</v>
      </c>
    </row>
    <row r="3">
      <c r="A3" s="35">
        <v>45659.0</v>
      </c>
      <c r="B3" s="4">
        <v>113622.0</v>
      </c>
      <c r="C3" s="4">
        <v>2139.0</v>
      </c>
      <c r="D3" s="36">
        <v>1923.0</v>
      </c>
      <c r="E3" s="4">
        <v>50.0</v>
      </c>
      <c r="F3" s="36">
        <v>6262.0</v>
      </c>
      <c r="G3" s="1">
        <f t="shared" si="1"/>
        <v>1</v>
      </c>
    </row>
    <row r="4">
      <c r="A4" s="35">
        <v>45660.0</v>
      </c>
      <c r="B4" s="4">
        <v>25676.0</v>
      </c>
      <c r="C4" s="4">
        <v>360.0</v>
      </c>
      <c r="D4" s="36">
        <v>270.0</v>
      </c>
      <c r="E4" s="4">
        <v>7.0</v>
      </c>
      <c r="F4" s="36">
        <v>861.0</v>
      </c>
      <c r="G4" s="1">
        <f t="shared" si="1"/>
        <v>1</v>
      </c>
    </row>
    <row r="5">
      <c r="A5" s="35">
        <v>45661.0</v>
      </c>
      <c r="B5" s="4">
        <v>55742.0</v>
      </c>
      <c r="C5" s="4">
        <v>927.0</v>
      </c>
      <c r="D5" s="36">
        <v>951.0</v>
      </c>
      <c r="E5" s="4">
        <v>16.0</v>
      </c>
      <c r="F5" s="36">
        <v>3532.0</v>
      </c>
      <c r="G5" s="1">
        <f t="shared" si="1"/>
        <v>1</v>
      </c>
    </row>
    <row r="6">
      <c r="A6" s="35">
        <v>45662.0</v>
      </c>
      <c r="B6" s="4">
        <v>50034.0</v>
      </c>
      <c r="C6" s="4">
        <v>669.0</v>
      </c>
      <c r="D6" s="36">
        <v>588.0</v>
      </c>
      <c r="E6" s="4">
        <v>15.0</v>
      </c>
      <c r="F6" s="36">
        <v>3464.0</v>
      </c>
      <c r="G6" s="1">
        <f t="shared" si="1"/>
        <v>1</v>
      </c>
    </row>
    <row r="7">
      <c r="A7" s="35">
        <v>45663.0</v>
      </c>
      <c r="B7" s="4">
        <v>72795.0</v>
      </c>
      <c r="C7" s="4">
        <v>1327.0</v>
      </c>
      <c r="D7" s="36">
        <v>1464.0</v>
      </c>
      <c r="E7" s="4">
        <v>22.0</v>
      </c>
      <c r="F7" s="36">
        <v>3804.0</v>
      </c>
      <c r="G7" s="1">
        <f t="shared" si="1"/>
        <v>1</v>
      </c>
    </row>
    <row r="8">
      <c r="A8" s="35">
        <v>45664.0</v>
      </c>
      <c r="B8" s="4">
        <v>54686.0</v>
      </c>
      <c r="C8" s="4">
        <v>1607.0</v>
      </c>
      <c r="D8" s="36">
        <v>1118.0</v>
      </c>
      <c r="E8" s="4">
        <v>33.0</v>
      </c>
      <c r="F8" s="36">
        <v>6814.0</v>
      </c>
      <c r="G8" s="1">
        <f t="shared" si="1"/>
        <v>1</v>
      </c>
    </row>
    <row r="9">
      <c r="A9" s="35">
        <v>45665.0</v>
      </c>
      <c r="B9" s="4">
        <v>51903.0</v>
      </c>
      <c r="C9" s="4">
        <v>509.0</v>
      </c>
      <c r="D9" s="36">
        <v>545.0</v>
      </c>
      <c r="E9" s="4">
        <v>10.0</v>
      </c>
      <c r="F9" s="36">
        <v>1671.0</v>
      </c>
      <c r="G9" s="1">
        <f t="shared" si="1"/>
        <v>1</v>
      </c>
    </row>
    <row r="10">
      <c r="A10" s="35">
        <v>45666.0</v>
      </c>
      <c r="B10" s="4">
        <v>96174.0</v>
      </c>
      <c r="C10" s="4">
        <v>2195.0</v>
      </c>
      <c r="D10" s="36">
        <v>1870.0</v>
      </c>
      <c r="E10" s="4">
        <v>38.0</v>
      </c>
      <c r="F10" s="36">
        <v>8346.0</v>
      </c>
      <c r="G10" s="1">
        <f t="shared" si="1"/>
        <v>1</v>
      </c>
    </row>
    <row r="11">
      <c r="A11" s="35">
        <v>45667.0</v>
      </c>
      <c r="B11" s="4">
        <v>85203.0</v>
      </c>
      <c r="C11" s="4">
        <v>1569.0</v>
      </c>
      <c r="D11" s="36">
        <v>2066.0</v>
      </c>
      <c r="E11" s="4">
        <v>19.0</v>
      </c>
      <c r="F11" s="36">
        <v>3876.0</v>
      </c>
      <c r="G11" s="1">
        <f t="shared" si="1"/>
        <v>1</v>
      </c>
    </row>
    <row r="12">
      <c r="A12" s="35">
        <v>45668.0</v>
      </c>
      <c r="B12" s="4">
        <v>81432.0</v>
      </c>
      <c r="C12" s="4">
        <v>1020.0</v>
      </c>
      <c r="D12" s="36">
        <v>1090.0</v>
      </c>
      <c r="E12" s="4">
        <v>20.0</v>
      </c>
      <c r="F12" s="36">
        <v>4285.0</v>
      </c>
      <c r="G12" s="1">
        <f t="shared" si="1"/>
        <v>1</v>
      </c>
    </row>
    <row r="13">
      <c r="A13" s="35">
        <v>45669.0</v>
      </c>
      <c r="B13" s="4">
        <v>86724.0</v>
      </c>
      <c r="C13" s="4">
        <v>1608.0</v>
      </c>
      <c r="D13" s="36">
        <v>1626.0</v>
      </c>
      <c r="E13" s="4">
        <v>20.0</v>
      </c>
      <c r="F13" s="36">
        <v>4266.0</v>
      </c>
      <c r="G13" s="1">
        <f t="shared" si="1"/>
        <v>1</v>
      </c>
    </row>
    <row r="14">
      <c r="A14" s="35">
        <v>45670.0</v>
      </c>
      <c r="B14" s="4">
        <v>97450.0</v>
      </c>
      <c r="C14" s="4">
        <v>2234.0</v>
      </c>
      <c r="D14" s="36">
        <v>1909.0</v>
      </c>
      <c r="E14" s="4">
        <v>32.0</v>
      </c>
      <c r="F14" s="36">
        <v>4158.0</v>
      </c>
      <c r="G14" s="1">
        <f t="shared" si="1"/>
        <v>1</v>
      </c>
    </row>
    <row r="15">
      <c r="A15" s="35">
        <v>45671.0</v>
      </c>
      <c r="B15" s="4">
        <v>87059.0</v>
      </c>
      <c r="C15" s="4">
        <v>1682.0</v>
      </c>
      <c r="D15" s="36">
        <v>1782.0</v>
      </c>
      <c r="E15" s="4">
        <v>31.0</v>
      </c>
      <c r="F15" s="36">
        <v>4794.0</v>
      </c>
      <c r="G15" s="1">
        <f t="shared" si="1"/>
        <v>1</v>
      </c>
    </row>
    <row r="16">
      <c r="A16" s="35">
        <v>45672.0</v>
      </c>
      <c r="B16" s="4">
        <v>82315.0</v>
      </c>
      <c r="C16" s="4">
        <v>2176.0</v>
      </c>
      <c r="D16" s="36">
        <v>1913.0</v>
      </c>
      <c r="E16" s="4">
        <v>34.0</v>
      </c>
      <c r="F16" s="36">
        <v>3083.0</v>
      </c>
      <c r="G16" s="1">
        <f t="shared" si="1"/>
        <v>1</v>
      </c>
    </row>
    <row r="17">
      <c r="A17" s="35">
        <v>45673.0</v>
      </c>
      <c r="B17" s="4">
        <v>30991.0</v>
      </c>
      <c r="C17" s="4">
        <v>726.0</v>
      </c>
      <c r="D17" s="36">
        <v>984.0</v>
      </c>
      <c r="E17" s="4">
        <v>13.0</v>
      </c>
      <c r="F17" s="36">
        <v>1970.0</v>
      </c>
      <c r="G17" s="1">
        <f t="shared" si="1"/>
        <v>1</v>
      </c>
    </row>
    <row r="18">
      <c r="A18" s="35">
        <v>45674.0</v>
      </c>
      <c r="B18" s="4">
        <v>112741.0</v>
      </c>
      <c r="C18" s="4">
        <v>2898.0</v>
      </c>
      <c r="D18" s="36">
        <v>2966.0</v>
      </c>
      <c r="E18" s="4">
        <v>70.0</v>
      </c>
      <c r="F18" s="36">
        <v>10287.0</v>
      </c>
      <c r="G18" s="1">
        <f t="shared" si="1"/>
        <v>1</v>
      </c>
    </row>
    <row r="19">
      <c r="A19" s="35">
        <v>45675.0</v>
      </c>
      <c r="B19" s="4">
        <v>65598.0</v>
      </c>
      <c r="C19" s="4">
        <v>2140.0</v>
      </c>
      <c r="D19" s="36">
        <v>1439.0</v>
      </c>
      <c r="E19" s="4">
        <v>28.0</v>
      </c>
      <c r="F19" s="36">
        <v>3779.0</v>
      </c>
      <c r="G19" s="1">
        <f t="shared" si="1"/>
        <v>1</v>
      </c>
    </row>
    <row r="20">
      <c r="A20" s="35">
        <v>45676.0</v>
      </c>
      <c r="B20" s="4">
        <v>74983.0</v>
      </c>
      <c r="C20" s="4">
        <v>1011.0</v>
      </c>
      <c r="D20" s="36">
        <v>1029.0</v>
      </c>
      <c r="E20" s="4">
        <v>23.0</v>
      </c>
      <c r="F20" s="36">
        <v>2972.0</v>
      </c>
      <c r="G20" s="1">
        <f t="shared" si="1"/>
        <v>1</v>
      </c>
    </row>
    <row r="21">
      <c r="A21" s="35">
        <v>45677.0</v>
      </c>
      <c r="B21" s="4">
        <v>89780.0</v>
      </c>
      <c r="C21" s="4">
        <v>1406.0</v>
      </c>
      <c r="D21" s="36">
        <v>998.0</v>
      </c>
      <c r="E21" s="4">
        <v>18.0</v>
      </c>
      <c r="F21" s="36">
        <v>4343.0</v>
      </c>
      <c r="G21" s="1">
        <f t="shared" si="1"/>
        <v>1</v>
      </c>
    </row>
    <row r="22">
      <c r="A22" s="35">
        <v>45678.0</v>
      </c>
      <c r="B22" s="4">
        <v>79638.0</v>
      </c>
      <c r="C22" s="4">
        <v>1829.0</v>
      </c>
      <c r="D22" s="36">
        <v>1825.0</v>
      </c>
      <c r="E22" s="4">
        <v>30.0</v>
      </c>
      <c r="F22" s="36">
        <v>4958.0</v>
      </c>
      <c r="G22" s="1">
        <f t="shared" si="1"/>
        <v>1</v>
      </c>
    </row>
    <row r="23">
      <c r="A23" s="35">
        <v>45679.0</v>
      </c>
      <c r="B23" s="4">
        <v>56982.0</v>
      </c>
      <c r="C23" s="4">
        <v>596.0</v>
      </c>
      <c r="D23" s="36">
        <v>603.0</v>
      </c>
      <c r="E23" s="4">
        <v>11.0</v>
      </c>
      <c r="F23" s="36">
        <v>1558.0</v>
      </c>
      <c r="G23" s="1">
        <f t="shared" si="1"/>
        <v>1</v>
      </c>
    </row>
    <row r="24">
      <c r="A24" s="35">
        <v>45680.0</v>
      </c>
      <c r="B24" s="4">
        <v>25416.0</v>
      </c>
      <c r="C24" s="4">
        <v>196.0</v>
      </c>
      <c r="D24" s="36">
        <v>129.0</v>
      </c>
      <c r="E24" s="4">
        <v>3.0</v>
      </c>
      <c r="F24" s="36">
        <v>693.0</v>
      </c>
      <c r="G24" s="1">
        <f t="shared" si="1"/>
        <v>1</v>
      </c>
    </row>
    <row r="25">
      <c r="A25" s="35">
        <v>45681.0</v>
      </c>
      <c r="B25" s="4">
        <v>83714.0</v>
      </c>
      <c r="C25" s="4">
        <v>1288.0</v>
      </c>
      <c r="D25" s="36">
        <v>1499.0</v>
      </c>
      <c r="E25" s="4">
        <v>29.0</v>
      </c>
      <c r="F25" s="36">
        <v>5466.0</v>
      </c>
      <c r="G25" s="1">
        <f t="shared" si="1"/>
        <v>1</v>
      </c>
    </row>
    <row r="26">
      <c r="A26" s="35">
        <v>45682.0</v>
      </c>
      <c r="B26" s="4">
        <v>61918.0</v>
      </c>
      <c r="C26" s="4">
        <v>1513.0</v>
      </c>
      <c r="D26" s="36">
        <v>2129.0</v>
      </c>
      <c r="E26" s="4">
        <v>35.0</v>
      </c>
      <c r="F26" s="36">
        <v>6437.0</v>
      </c>
      <c r="G26" s="1">
        <f t="shared" si="1"/>
        <v>1</v>
      </c>
    </row>
    <row r="27">
      <c r="A27" s="35">
        <v>45683.0</v>
      </c>
      <c r="B27" s="4">
        <v>39505.0</v>
      </c>
      <c r="C27" s="4">
        <v>399.0</v>
      </c>
      <c r="D27" s="36">
        <v>454.0</v>
      </c>
      <c r="E27" s="4">
        <v>7.0</v>
      </c>
      <c r="F27" s="36">
        <v>1114.0</v>
      </c>
      <c r="G27" s="1">
        <f t="shared" si="1"/>
        <v>1</v>
      </c>
    </row>
    <row r="28">
      <c r="A28" s="35">
        <v>45684.0</v>
      </c>
      <c r="B28" s="4">
        <v>35645.0</v>
      </c>
      <c r="C28" s="4">
        <v>443.0</v>
      </c>
      <c r="D28" s="36">
        <v>593.0</v>
      </c>
      <c r="E28" s="4">
        <v>8.0</v>
      </c>
      <c r="F28" s="36">
        <v>1750.0</v>
      </c>
      <c r="G28" s="1">
        <f t="shared" si="1"/>
        <v>1</v>
      </c>
    </row>
    <row r="29">
      <c r="A29" s="35">
        <v>45685.0</v>
      </c>
      <c r="B29" s="4">
        <v>77867.0</v>
      </c>
      <c r="C29" s="4">
        <v>981.0</v>
      </c>
      <c r="D29" s="36">
        <v>1055.0</v>
      </c>
      <c r="E29" s="4">
        <v>23.0</v>
      </c>
      <c r="F29" s="36">
        <v>4255.0</v>
      </c>
      <c r="G29" s="1">
        <f t="shared" si="1"/>
        <v>1</v>
      </c>
    </row>
    <row r="30">
      <c r="A30" s="35">
        <v>45686.0</v>
      </c>
      <c r="B30" s="4">
        <v>40913.0</v>
      </c>
      <c r="C30" s="4">
        <v>929.0</v>
      </c>
      <c r="D30" s="36">
        <v>669.0</v>
      </c>
      <c r="E30" s="4">
        <v>17.0</v>
      </c>
      <c r="F30" s="36">
        <v>3399.0</v>
      </c>
      <c r="G30" s="1">
        <f t="shared" si="1"/>
        <v>1</v>
      </c>
    </row>
    <row r="31">
      <c r="A31" s="35">
        <v>45687.0</v>
      </c>
      <c r="B31" s="4">
        <v>64428.0</v>
      </c>
      <c r="C31" s="4">
        <v>2025.0</v>
      </c>
      <c r="D31" s="36">
        <v>1969.0</v>
      </c>
      <c r="E31" s="4">
        <v>30.0</v>
      </c>
      <c r="F31" s="36">
        <v>4442.0</v>
      </c>
      <c r="G31" s="1">
        <f t="shared" si="1"/>
        <v>1</v>
      </c>
    </row>
    <row r="32">
      <c r="A32" s="35">
        <v>45688.0</v>
      </c>
      <c r="B32" s="4">
        <v>93925.0</v>
      </c>
      <c r="C32" s="4">
        <v>1932.0</v>
      </c>
      <c r="D32" s="36">
        <v>2165.0</v>
      </c>
      <c r="E32" s="4">
        <v>36.0</v>
      </c>
      <c r="F32" s="36">
        <v>6059.0</v>
      </c>
      <c r="G32" s="1">
        <f t="shared" si="1"/>
        <v>1</v>
      </c>
    </row>
    <row r="33">
      <c r="A33" s="35">
        <v>45689.0</v>
      </c>
      <c r="B33" s="4">
        <v>115794.0</v>
      </c>
      <c r="C33" s="4">
        <v>3255.0</v>
      </c>
      <c r="D33" s="36">
        <v>2584.0</v>
      </c>
      <c r="E33" s="4">
        <v>61.0</v>
      </c>
      <c r="F33" s="36">
        <v>9359.0</v>
      </c>
      <c r="G33" s="1">
        <f t="shared" si="1"/>
        <v>2</v>
      </c>
    </row>
    <row r="34">
      <c r="A34" s="35">
        <v>45690.0</v>
      </c>
      <c r="B34" s="4">
        <v>39694.0</v>
      </c>
      <c r="C34" s="4">
        <v>514.0</v>
      </c>
      <c r="D34" s="36">
        <v>662.0</v>
      </c>
      <c r="E34" s="4">
        <v>9.0</v>
      </c>
      <c r="F34" s="36">
        <v>2087.0</v>
      </c>
      <c r="G34" s="1">
        <f t="shared" si="1"/>
        <v>2</v>
      </c>
    </row>
    <row r="35">
      <c r="A35" s="35">
        <v>45691.0</v>
      </c>
      <c r="B35" s="4">
        <v>37397.0</v>
      </c>
      <c r="C35" s="4">
        <v>807.0</v>
      </c>
      <c r="D35" s="36">
        <v>629.0</v>
      </c>
      <c r="E35" s="4">
        <v>17.0</v>
      </c>
      <c r="F35" s="36">
        <v>2780.0</v>
      </c>
      <c r="G35" s="1">
        <f t="shared" si="1"/>
        <v>2</v>
      </c>
    </row>
    <row r="36">
      <c r="A36" s="35">
        <v>45692.0</v>
      </c>
      <c r="B36" s="4">
        <v>23589.0</v>
      </c>
      <c r="C36" s="4">
        <v>480.0</v>
      </c>
      <c r="D36" s="36">
        <v>401.0</v>
      </c>
      <c r="E36" s="4">
        <v>8.0</v>
      </c>
      <c r="F36" s="36">
        <v>1138.0</v>
      </c>
      <c r="G36" s="1">
        <f t="shared" si="1"/>
        <v>2</v>
      </c>
    </row>
    <row r="37">
      <c r="A37" s="35">
        <v>45693.0</v>
      </c>
      <c r="B37" s="4">
        <v>92100.0</v>
      </c>
      <c r="C37" s="4">
        <v>2462.0</v>
      </c>
      <c r="D37" s="36">
        <v>2909.0</v>
      </c>
      <c r="E37" s="4">
        <v>43.0</v>
      </c>
      <c r="F37" s="36">
        <v>8356.0</v>
      </c>
      <c r="G37" s="1">
        <f t="shared" si="1"/>
        <v>2</v>
      </c>
    </row>
    <row r="38">
      <c r="A38" s="35">
        <v>45694.0</v>
      </c>
      <c r="B38" s="4">
        <v>93317.0</v>
      </c>
      <c r="C38" s="4">
        <v>1307.0</v>
      </c>
      <c r="D38" s="36">
        <v>1032.0</v>
      </c>
      <c r="E38" s="4">
        <v>23.0</v>
      </c>
      <c r="F38" s="36">
        <v>3098.0</v>
      </c>
      <c r="G38" s="1">
        <f t="shared" si="1"/>
        <v>2</v>
      </c>
    </row>
    <row r="39">
      <c r="A39" s="35">
        <v>45695.0</v>
      </c>
      <c r="B39" s="4">
        <v>105397.0</v>
      </c>
      <c r="C39" s="4">
        <v>2964.0</v>
      </c>
      <c r="D39" s="36">
        <v>2764.0</v>
      </c>
      <c r="E39" s="4">
        <v>50.0</v>
      </c>
      <c r="F39" s="36">
        <v>7707.0</v>
      </c>
      <c r="G39" s="1">
        <f t="shared" si="1"/>
        <v>2</v>
      </c>
    </row>
    <row r="40">
      <c r="A40" s="35">
        <v>45696.0</v>
      </c>
      <c r="B40" s="4">
        <v>83825.0</v>
      </c>
      <c r="C40" s="4">
        <v>1171.0</v>
      </c>
      <c r="D40" s="36">
        <v>821.0</v>
      </c>
      <c r="E40" s="4">
        <v>21.0</v>
      </c>
      <c r="F40" s="36">
        <v>3938.0</v>
      </c>
      <c r="G40" s="1">
        <f t="shared" si="1"/>
        <v>2</v>
      </c>
    </row>
    <row r="41">
      <c r="A41" s="35">
        <v>45697.0</v>
      </c>
      <c r="B41" s="4">
        <v>75195.0</v>
      </c>
      <c r="C41" s="4">
        <v>1865.0</v>
      </c>
      <c r="D41" s="36">
        <v>2223.0</v>
      </c>
      <c r="E41" s="4">
        <v>27.0</v>
      </c>
      <c r="F41" s="36">
        <v>3073.0</v>
      </c>
      <c r="G41" s="1">
        <f t="shared" si="1"/>
        <v>2</v>
      </c>
    </row>
    <row r="42">
      <c r="A42" s="35">
        <v>45698.0</v>
      </c>
      <c r="B42" s="4">
        <v>50744.0</v>
      </c>
      <c r="C42" s="4">
        <v>1266.0</v>
      </c>
      <c r="D42" s="36">
        <v>1055.0</v>
      </c>
      <c r="E42" s="4">
        <v>32.0</v>
      </c>
      <c r="F42" s="36">
        <v>7428.0</v>
      </c>
      <c r="G42" s="1">
        <f t="shared" si="1"/>
        <v>2</v>
      </c>
    </row>
    <row r="43">
      <c r="A43" s="35">
        <v>45699.0</v>
      </c>
      <c r="B43" s="4">
        <v>86190.0</v>
      </c>
      <c r="C43" s="4">
        <v>2396.0</v>
      </c>
      <c r="D43" s="36">
        <v>1604.0</v>
      </c>
      <c r="E43" s="4">
        <v>36.0</v>
      </c>
      <c r="F43" s="36">
        <v>6894.0</v>
      </c>
      <c r="G43" s="1">
        <f t="shared" si="1"/>
        <v>2</v>
      </c>
    </row>
    <row r="44">
      <c r="A44" s="35">
        <v>45700.0</v>
      </c>
      <c r="B44" s="4">
        <v>102631.0</v>
      </c>
      <c r="C44" s="4">
        <v>2023.0</v>
      </c>
      <c r="D44" s="36">
        <v>1562.0</v>
      </c>
      <c r="E44" s="4">
        <v>32.0</v>
      </c>
      <c r="F44" s="36">
        <v>5628.0</v>
      </c>
      <c r="G44" s="1">
        <f t="shared" si="1"/>
        <v>2</v>
      </c>
    </row>
    <row r="45">
      <c r="A45" s="35">
        <v>45701.0</v>
      </c>
      <c r="B45" s="4">
        <v>38591.0</v>
      </c>
      <c r="C45" s="4">
        <v>617.0</v>
      </c>
      <c r="D45" s="36">
        <v>672.0</v>
      </c>
      <c r="E45" s="4">
        <v>16.0</v>
      </c>
      <c r="F45" s="36">
        <v>2378.0</v>
      </c>
      <c r="G45" s="1">
        <f t="shared" si="1"/>
        <v>2</v>
      </c>
    </row>
    <row r="46">
      <c r="A46" s="35">
        <v>45702.0</v>
      </c>
      <c r="B46" s="4">
        <v>105603.0</v>
      </c>
      <c r="C46" s="4">
        <v>2186.0</v>
      </c>
      <c r="D46" s="36">
        <v>2095.0</v>
      </c>
      <c r="E46" s="4">
        <v>50.0</v>
      </c>
      <c r="F46" s="36">
        <v>7996.0</v>
      </c>
      <c r="G46" s="1">
        <f t="shared" si="1"/>
        <v>2</v>
      </c>
    </row>
    <row r="47">
      <c r="A47" s="35">
        <v>45703.0</v>
      </c>
      <c r="B47" s="4">
        <v>86755.0</v>
      </c>
      <c r="C47" s="4">
        <v>2521.0</v>
      </c>
      <c r="D47" s="36">
        <v>2970.0</v>
      </c>
      <c r="E47" s="4">
        <v>29.0</v>
      </c>
      <c r="F47" s="36">
        <v>5816.0</v>
      </c>
      <c r="G47" s="1">
        <f t="shared" si="1"/>
        <v>2</v>
      </c>
    </row>
    <row r="48">
      <c r="A48" s="35">
        <v>45704.0</v>
      </c>
      <c r="B48" s="4">
        <v>24397.0</v>
      </c>
      <c r="C48" s="4">
        <v>250.0</v>
      </c>
      <c r="D48" s="36">
        <v>258.0</v>
      </c>
      <c r="E48" s="4">
        <v>5.0</v>
      </c>
      <c r="F48" s="36">
        <v>827.0</v>
      </c>
      <c r="G48" s="1">
        <f t="shared" si="1"/>
        <v>2</v>
      </c>
    </row>
    <row r="49">
      <c r="A49" s="35">
        <v>45705.0</v>
      </c>
      <c r="B49" s="4">
        <v>22719.0</v>
      </c>
      <c r="C49" s="4">
        <v>217.0</v>
      </c>
      <c r="D49" s="36">
        <v>276.0</v>
      </c>
      <c r="E49" s="4">
        <v>3.0</v>
      </c>
      <c r="F49" s="36">
        <v>826.0</v>
      </c>
      <c r="G49" s="1">
        <f t="shared" si="1"/>
        <v>2</v>
      </c>
    </row>
    <row r="50">
      <c r="A50" s="35">
        <v>45706.0</v>
      </c>
      <c r="B50" s="4">
        <v>68469.0</v>
      </c>
      <c r="C50" s="4">
        <v>921.0</v>
      </c>
      <c r="D50" s="36">
        <v>1026.0</v>
      </c>
      <c r="E50" s="4">
        <v>11.0</v>
      </c>
      <c r="F50" s="36">
        <v>2197.0</v>
      </c>
      <c r="G50" s="1">
        <f t="shared" si="1"/>
        <v>2</v>
      </c>
    </row>
    <row r="51">
      <c r="A51" s="35">
        <v>45707.0</v>
      </c>
      <c r="B51" s="4">
        <v>35741.0</v>
      </c>
      <c r="C51" s="4">
        <v>784.0</v>
      </c>
      <c r="D51" s="36">
        <v>991.0</v>
      </c>
      <c r="E51" s="4">
        <v>12.0</v>
      </c>
      <c r="F51" s="36">
        <v>1610.0</v>
      </c>
      <c r="G51" s="1">
        <f t="shared" si="1"/>
        <v>2</v>
      </c>
    </row>
    <row r="52">
      <c r="A52" s="35">
        <v>45708.0</v>
      </c>
      <c r="B52" s="4">
        <v>92642.0</v>
      </c>
      <c r="C52" s="4">
        <v>1666.0</v>
      </c>
      <c r="D52" s="36">
        <v>1765.0</v>
      </c>
      <c r="E52" s="4">
        <v>38.0</v>
      </c>
      <c r="F52" s="36">
        <v>5719.0</v>
      </c>
      <c r="G52" s="1">
        <f t="shared" si="1"/>
        <v>2</v>
      </c>
    </row>
    <row r="53">
      <c r="A53" s="35">
        <v>45709.0</v>
      </c>
      <c r="B53" s="4">
        <v>108105.0</v>
      </c>
      <c r="C53" s="4">
        <v>1162.0</v>
      </c>
      <c r="D53" s="36">
        <v>1391.0</v>
      </c>
      <c r="E53" s="4">
        <v>17.0</v>
      </c>
      <c r="F53" s="36">
        <v>1856.0</v>
      </c>
      <c r="G53" s="1">
        <f t="shared" si="1"/>
        <v>2</v>
      </c>
    </row>
    <row r="54">
      <c r="A54" s="35">
        <v>45710.0</v>
      </c>
      <c r="B54" s="4">
        <v>81877.0</v>
      </c>
      <c r="C54" s="4">
        <v>1214.0</v>
      </c>
      <c r="D54" s="36">
        <v>1223.0</v>
      </c>
      <c r="E54" s="4">
        <v>18.0</v>
      </c>
      <c r="F54" s="36">
        <v>2602.0</v>
      </c>
      <c r="G54" s="1">
        <f t="shared" si="1"/>
        <v>2</v>
      </c>
    </row>
    <row r="55">
      <c r="A55" s="35">
        <v>45711.0</v>
      </c>
      <c r="B55" s="4">
        <v>103967.0</v>
      </c>
      <c r="C55" s="4">
        <v>1170.0</v>
      </c>
      <c r="D55" s="36">
        <v>1098.0</v>
      </c>
      <c r="E55" s="4">
        <v>27.0</v>
      </c>
      <c r="F55" s="36">
        <v>5713.0</v>
      </c>
      <c r="G55" s="1">
        <f t="shared" si="1"/>
        <v>2</v>
      </c>
    </row>
    <row r="56">
      <c r="A56" s="35">
        <v>45712.0</v>
      </c>
      <c r="B56" s="4">
        <v>27443.0</v>
      </c>
      <c r="C56" s="4">
        <v>632.0</v>
      </c>
      <c r="D56" s="36">
        <v>536.0</v>
      </c>
      <c r="E56" s="4">
        <v>7.0</v>
      </c>
      <c r="F56" s="36">
        <v>868.0</v>
      </c>
      <c r="G56" s="1">
        <f t="shared" si="1"/>
        <v>2</v>
      </c>
    </row>
    <row r="57">
      <c r="A57" s="35">
        <v>45713.0</v>
      </c>
      <c r="B57" s="4">
        <v>66742.0</v>
      </c>
      <c r="C57" s="4">
        <v>1199.0</v>
      </c>
      <c r="D57" s="36">
        <v>765.0</v>
      </c>
      <c r="E57" s="4">
        <v>19.0</v>
      </c>
      <c r="F57" s="36">
        <v>2334.0</v>
      </c>
      <c r="G57" s="1">
        <f t="shared" si="1"/>
        <v>2</v>
      </c>
    </row>
    <row r="58">
      <c r="A58" s="35">
        <v>45714.0</v>
      </c>
      <c r="B58" s="4">
        <v>94411.0</v>
      </c>
      <c r="C58" s="4">
        <v>2697.0</v>
      </c>
      <c r="D58" s="36">
        <v>2590.0</v>
      </c>
      <c r="E58" s="4">
        <v>44.0</v>
      </c>
      <c r="F58" s="36">
        <v>6715.0</v>
      </c>
      <c r="G58" s="1">
        <f t="shared" si="1"/>
        <v>2</v>
      </c>
    </row>
    <row r="59">
      <c r="A59" s="35">
        <v>45715.0</v>
      </c>
      <c r="B59" s="4">
        <v>59457.0</v>
      </c>
      <c r="C59" s="4">
        <v>1760.0</v>
      </c>
      <c r="D59" s="36">
        <v>1808.0</v>
      </c>
      <c r="E59" s="4">
        <v>18.0</v>
      </c>
      <c r="F59" s="36">
        <v>3936.0</v>
      </c>
      <c r="G59" s="1">
        <f t="shared" si="1"/>
        <v>2</v>
      </c>
    </row>
    <row r="60">
      <c r="A60" s="35">
        <v>45716.0</v>
      </c>
      <c r="B60" s="4">
        <v>26211.0</v>
      </c>
      <c r="C60" s="4">
        <v>208.0</v>
      </c>
      <c r="D60" s="36">
        <v>214.0</v>
      </c>
      <c r="E60" s="4">
        <v>2.0</v>
      </c>
      <c r="F60" s="36">
        <v>451.0</v>
      </c>
      <c r="G60" s="1">
        <f t="shared" si="1"/>
        <v>2</v>
      </c>
    </row>
    <row r="61">
      <c r="A61" s="35">
        <v>45717.0</v>
      </c>
      <c r="B61" s="4">
        <v>85553.0</v>
      </c>
      <c r="C61" s="4">
        <v>1511.0</v>
      </c>
      <c r="D61" s="36">
        <v>1327.0</v>
      </c>
      <c r="E61" s="4">
        <v>37.0</v>
      </c>
      <c r="F61" s="36">
        <v>5908.0</v>
      </c>
      <c r="G61" s="1">
        <f t="shared" si="1"/>
        <v>3</v>
      </c>
    </row>
    <row r="62">
      <c r="A62" s="35">
        <v>45718.0</v>
      </c>
      <c r="B62" s="4">
        <v>54557.0</v>
      </c>
      <c r="C62" s="4">
        <v>1540.0</v>
      </c>
      <c r="D62" s="36">
        <v>1786.0</v>
      </c>
      <c r="E62" s="4">
        <v>29.0</v>
      </c>
      <c r="F62" s="36">
        <v>4767.0</v>
      </c>
      <c r="G62" s="1">
        <f t="shared" si="1"/>
        <v>3</v>
      </c>
    </row>
    <row r="63">
      <c r="A63" s="35">
        <v>45719.0</v>
      </c>
      <c r="B63" s="4">
        <v>33309.0</v>
      </c>
      <c r="C63" s="4">
        <v>657.0</v>
      </c>
      <c r="D63" s="36">
        <v>604.0</v>
      </c>
      <c r="E63" s="4">
        <v>16.0</v>
      </c>
      <c r="F63" s="36">
        <v>3225.0</v>
      </c>
      <c r="G63" s="1">
        <f t="shared" si="1"/>
        <v>3</v>
      </c>
    </row>
    <row r="64">
      <c r="A64" s="35">
        <v>45720.0</v>
      </c>
      <c r="B64" s="4">
        <v>41657.0</v>
      </c>
      <c r="C64" s="4">
        <v>661.0</v>
      </c>
      <c r="D64" s="36">
        <v>637.0</v>
      </c>
      <c r="E64" s="4">
        <v>12.0</v>
      </c>
      <c r="F64" s="36">
        <v>2391.0</v>
      </c>
      <c r="G64" s="1">
        <f t="shared" si="1"/>
        <v>3</v>
      </c>
    </row>
    <row r="65">
      <c r="A65" s="35">
        <v>45721.0</v>
      </c>
      <c r="B65" s="4">
        <v>68691.0</v>
      </c>
      <c r="C65" s="4">
        <v>1756.0</v>
      </c>
      <c r="D65" s="36">
        <v>1700.0</v>
      </c>
      <c r="E65" s="4">
        <v>37.0</v>
      </c>
      <c r="F65" s="36">
        <v>4394.0</v>
      </c>
      <c r="G65" s="1">
        <f t="shared" si="1"/>
        <v>3</v>
      </c>
    </row>
    <row r="66">
      <c r="A66" s="35">
        <v>45722.0</v>
      </c>
      <c r="B66" s="4">
        <v>65226.0</v>
      </c>
      <c r="C66" s="4">
        <v>1583.0</v>
      </c>
      <c r="D66" s="36">
        <v>1268.0</v>
      </c>
      <c r="E66" s="4">
        <v>25.0</v>
      </c>
      <c r="F66" s="36">
        <v>4588.0</v>
      </c>
      <c r="G66" s="1">
        <f t="shared" si="1"/>
        <v>3</v>
      </c>
    </row>
    <row r="67">
      <c r="A67" s="35">
        <v>45723.0</v>
      </c>
      <c r="B67" s="4">
        <v>35908.0</v>
      </c>
      <c r="C67" s="4">
        <v>770.0</v>
      </c>
      <c r="D67" s="36">
        <v>522.0</v>
      </c>
      <c r="E67" s="4">
        <v>13.0</v>
      </c>
      <c r="F67" s="36">
        <v>1516.0</v>
      </c>
      <c r="G67" s="1">
        <f t="shared" si="1"/>
        <v>3</v>
      </c>
    </row>
    <row r="68">
      <c r="A68" s="35">
        <v>45724.0</v>
      </c>
      <c r="B68" s="4">
        <v>90050.0</v>
      </c>
      <c r="C68" s="4">
        <v>2615.0</v>
      </c>
      <c r="D68" s="36">
        <v>1567.0</v>
      </c>
      <c r="E68" s="4">
        <v>53.0</v>
      </c>
      <c r="F68" s="36">
        <v>5792.0</v>
      </c>
      <c r="G68" s="1">
        <f t="shared" si="1"/>
        <v>3</v>
      </c>
    </row>
    <row r="69">
      <c r="A69" s="35">
        <v>45725.0</v>
      </c>
      <c r="B69" s="4">
        <v>82917.0</v>
      </c>
      <c r="C69" s="4">
        <v>2378.0</v>
      </c>
      <c r="D69" s="36">
        <v>2304.0</v>
      </c>
      <c r="E69" s="4">
        <v>54.0</v>
      </c>
      <c r="F69" s="36">
        <v>8599.0</v>
      </c>
      <c r="G69" s="1">
        <f t="shared" si="1"/>
        <v>3</v>
      </c>
    </row>
    <row r="70">
      <c r="A70" s="35">
        <v>45726.0</v>
      </c>
      <c r="B70" s="4">
        <v>90435.0</v>
      </c>
      <c r="C70" s="4">
        <v>2385.0</v>
      </c>
      <c r="D70" s="36">
        <v>2386.0</v>
      </c>
      <c r="E70" s="4">
        <v>51.0</v>
      </c>
      <c r="F70" s="36">
        <v>8951.0</v>
      </c>
      <c r="G70" s="1">
        <f t="shared" si="1"/>
        <v>3</v>
      </c>
    </row>
    <row r="71">
      <c r="A71" s="35">
        <v>45727.0</v>
      </c>
      <c r="B71" s="4">
        <v>45828.0</v>
      </c>
      <c r="C71" s="4">
        <v>1072.0</v>
      </c>
      <c r="D71" s="36">
        <v>706.0</v>
      </c>
      <c r="E71" s="4">
        <v>12.0</v>
      </c>
      <c r="F71" s="36">
        <v>2348.0</v>
      </c>
      <c r="G71" s="1">
        <f t="shared" si="1"/>
        <v>3</v>
      </c>
    </row>
    <row r="72">
      <c r="A72" s="35">
        <v>45728.0</v>
      </c>
      <c r="B72" s="4">
        <v>96808.0</v>
      </c>
      <c r="C72" s="4">
        <v>2074.0</v>
      </c>
      <c r="D72" s="36">
        <v>1658.0</v>
      </c>
      <c r="E72" s="4">
        <v>36.0</v>
      </c>
      <c r="F72" s="36">
        <v>6226.0</v>
      </c>
      <c r="G72" s="1">
        <f t="shared" si="1"/>
        <v>3</v>
      </c>
    </row>
    <row r="73">
      <c r="A73" s="35">
        <v>45729.0</v>
      </c>
      <c r="B73" s="4">
        <v>36019.0</v>
      </c>
      <c r="C73" s="4">
        <v>662.0</v>
      </c>
      <c r="D73" s="36">
        <v>540.0</v>
      </c>
      <c r="E73" s="4">
        <v>11.0</v>
      </c>
      <c r="F73" s="36">
        <v>1754.0</v>
      </c>
      <c r="G73" s="1">
        <f t="shared" si="1"/>
        <v>3</v>
      </c>
    </row>
    <row r="74">
      <c r="A74" s="35">
        <v>45730.0</v>
      </c>
      <c r="B74" s="4">
        <v>65734.0</v>
      </c>
      <c r="C74" s="4">
        <v>828.0</v>
      </c>
      <c r="D74" s="36">
        <v>949.0</v>
      </c>
      <c r="E74" s="4">
        <v>11.0</v>
      </c>
      <c r="F74" s="36">
        <v>1161.0</v>
      </c>
      <c r="G74" s="1">
        <f t="shared" si="1"/>
        <v>3</v>
      </c>
    </row>
    <row r="75">
      <c r="A75" s="35">
        <v>45731.0</v>
      </c>
      <c r="B75" s="4">
        <v>34177.0</v>
      </c>
      <c r="C75" s="4">
        <v>381.0</v>
      </c>
      <c r="D75" s="36">
        <v>279.0</v>
      </c>
      <c r="E75" s="4">
        <v>6.0</v>
      </c>
      <c r="F75" s="36">
        <v>1258.0</v>
      </c>
      <c r="G75" s="1">
        <f t="shared" si="1"/>
        <v>3</v>
      </c>
    </row>
    <row r="76">
      <c r="A76" s="35">
        <v>45732.0</v>
      </c>
      <c r="B76" s="4">
        <v>39087.0</v>
      </c>
      <c r="C76" s="4">
        <v>640.0</v>
      </c>
      <c r="D76" s="36">
        <v>744.0</v>
      </c>
      <c r="E76" s="4">
        <v>10.0</v>
      </c>
      <c r="F76" s="36">
        <v>1362.0</v>
      </c>
      <c r="G76" s="1">
        <f t="shared" si="1"/>
        <v>3</v>
      </c>
    </row>
    <row r="77">
      <c r="A77" s="35">
        <v>45733.0</v>
      </c>
      <c r="B77" s="4">
        <v>66428.0</v>
      </c>
      <c r="C77" s="4">
        <v>1746.0</v>
      </c>
      <c r="D77" s="36">
        <v>2045.0</v>
      </c>
      <c r="E77" s="4">
        <v>44.0</v>
      </c>
      <c r="F77" s="36">
        <v>9133.0</v>
      </c>
      <c r="G77" s="1">
        <f t="shared" si="1"/>
        <v>3</v>
      </c>
    </row>
    <row r="78">
      <c r="A78" s="35">
        <v>45734.0</v>
      </c>
      <c r="B78" s="4">
        <v>49952.0</v>
      </c>
      <c r="C78" s="4">
        <v>850.0</v>
      </c>
      <c r="D78" s="36">
        <v>897.0</v>
      </c>
      <c r="E78" s="4">
        <v>12.0</v>
      </c>
      <c r="F78" s="36">
        <v>1450.0</v>
      </c>
      <c r="G78" s="1">
        <f t="shared" si="1"/>
        <v>3</v>
      </c>
    </row>
    <row r="79">
      <c r="A79" s="35">
        <v>45735.0</v>
      </c>
      <c r="B79" s="4">
        <v>38705.0</v>
      </c>
      <c r="C79" s="4">
        <v>706.0</v>
      </c>
      <c r="D79" s="36">
        <v>629.0</v>
      </c>
      <c r="E79" s="4">
        <v>15.0</v>
      </c>
      <c r="F79" s="36">
        <v>3294.0</v>
      </c>
      <c r="G79" s="1">
        <f t="shared" si="1"/>
        <v>3</v>
      </c>
    </row>
    <row r="80">
      <c r="A80" s="35">
        <v>45736.0</v>
      </c>
      <c r="B80" s="4">
        <v>104415.0</v>
      </c>
      <c r="C80" s="4">
        <v>1123.0</v>
      </c>
      <c r="D80" s="36">
        <v>1296.0</v>
      </c>
      <c r="E80" s="4">
        <v>25.0</v>
      </c>
      <c r="F80" s="36">
        <v>5154.0</v>
      </c>
      <c r="G80" s="1">
        <f t="shared" si="1"/>
        <v>3</v>
      </c>
    </row>
    <row r="81">
      <c r="A81" s="35">
        <v>45737.0</v>
      </c>
      <c r="B81" s="4">
        <v>45418.0</v>
      </c>
      <c r="C81" s="4">
        <v>877.0</v>
      </c>
      <c r="D81" s="36">
        <v>1060.0</v>
      </c>
      <c r="E81" s="4">
        <v>18.0</v>
      </c>
      <c r="F81" s="36">
        <v>2053.0</v>
      </c>
      <c r="G81" s="1">
        <f t="shared" si="1"/>
        <v>3</v>
      </c>
    </row>
    <row r="82">
      <c r="A82" s="35">
        <v>45738.0</v>
      </c>
      <c r="B82" s="4">
        <v>43038.0</v>
      </c>
      <c r="C82" s="4">
        <v>1140.0</v>
      </c>
      <c r="D82" s="36">
        <v>1034.0</v>
      </c>
      <c r="E82" s="4">
        <v>18.0</v>
      </c>
      <c r="F82" s="36">
        <v>2734.0</v>
      </c>
      <c r="G82" s="1">
        <f t="shared" si="1"/>
        <v>3</v>
      </c>
    </row>
    <row r="83">
      <c r="A83" s="35">
        <v>45739.0</v>
      </c>
      <c r="B83" s="4">
        <v>112277.0</v>
      </c>
      <c r="C83" s="4">
        <v>2162.0</v>
      </c>
      <c r="D83" s="36">
        <v>1808.0</v>
      </c>
      <c r="E83" s="4">
        <v>36.0</v>
      </c>
      <c r="F83" s="36">
        <v>5134.0</v>
      </c>
      <c r="G83" s="1">
        <f t="shared" si="1"/>
        <v>3</v>
      </c>
    </row>
    <row r="84">
      <c r="A84" s="35">
        <v>45740.0</v>
      </c>
      <c r="B84" s="4">
        <v>19294.0</v>
      </c>
      <c r="C84" s="4">
        <v>142.0</v>
      </c>
      <c r="D84" s="36">
        <v>167.0</v>
      </c>
      <c r="E84" s="4">
        <v>1.0</v>
      </c>
      <c r="F84" s="36">
        <v>271.0</v>
      </c>
      <c r="G84" s="1">
        <f t="shared" si="1"/>
        <v>3</v>
      </c>
    </row>
    <row r="85">
      <c r="A85" s="35">
        <v>45741.0</v>
      </c>
      <c r="B85" s="4">
        <v>85477.0</v>
      </c>
      <c r="C85" s="4">
        <v>2285.0</v>
      </c>
      <c r="D85" s="36">
        <v>2603.0</v>
      </c>
      <c r="E85" s="4">
        <v>41.0</v>
      </c>
      <c r="F85" s="36">
        <v>4688.0</v>
      </c>
      <c r="G85" s="1">
        <f t="shared" si="1"/>
        <v>3</v>
      </c>
    </row>
    <row r="86">
      <c r="A86" s="35">
        <v>45742.0</v>
      </c>
      <c r="B86" s="4">
        <v>35785.0</v>
      </c>
      <c r="C86" s="4">
        <v>691.0</v>
      </c>
      <c r="D86" s="36">
        <v>527.0</v>
      </c>
      <c r="E86" s="4">
        <v>15.0</v>
      </c>
      <c r="F86" s="36">
        <v>1920.0</v>
      </c>
      <c r="G86" s="1">
        <f t="shared" si="1"/>
        <v>3</v>
      </c>
    </row>
    <row r="87">
      <c r="A87" s="35">
        <v>45743.0</v>
      </c>
      <c r="B87" s="4">
        <v>91829.0</v>
      </c>
      <c r="C87" s="4">
        <v>1356.0</v>
      </c>
      <c r="D87" s="36">
        <v>1034.0</v>
      </c>
      <c r="E87" s="4">
        <v>26.0</v>
      </c>
      <c r="F87" s="36">
        <v>3449.0</v>
      </c>
      <c r="G87" s="1">
        <f t="shared" si="1"/>
        <v>3</v>
      </c>
    </row>
    <row r="88">
      <c r="A88" s="35">
        <v>45744.0</v>
      </c>
      <c r="B88" s="4">
        <v>25201.0</v>
      </c>
      <c r="C88" s="4">
        <v>403.0</v>
      </c>
      <c r="D88" s="36">
        <v>331.0</v>
      </c>
      <c r="E88" s="4">
        <v>6.0</v>
      </c>
      <c r="F88" s="36">
        <v>1213.0</v>
      </c>
      <c r="G88" s="1">
        <f t="shared" si="1"/>
        <v>3</v>
      </c>
    </row>
    <row r="89">
      <c r="A89" s="35">
        <v>45745.0</v>
      </c>
      <c r="B89" s="4">
        <v>83832.0</v>
      </c>
      <c r="C89" s="4">
        <v>2838.0</v>
      </c>
      <c r="D89" s="36">
        <v>3230.0</v>
      </c>
      <c r="E89" s="4">
        <v>42.0</v>
      </c>
      <c r="F89" s="36">
        <v>7423.0</v>
      </c>
      <c r="G89" s="1">
        <f t="shared" si="1"/>
        <v>3</v>
      </c>
    </row>
    <row r="90">
      <c r="A90" s="35">
        <v>45746.0</v>
      </c>
      <c r="B90" s="4">
        <v>65661.0</v>
      </c>
      <c r="C90" s="4">
        <v>969.0</v>
      </c>
      <c r="D90" s="36">
        <v>720.0</v>
      </c>
      <c r="E90" s="4">
        <v>15.0</v>
      </c>
      <c r="F90" s="36">
        <v>1723.0</v>
      </c>
      <c r="G90" s="1">
        <f t="shared" si="1"/>
        <v>3</v>
      </c>
    </row>
    <row r="91">
      <c r="A91" s="35">
        <v>45747.0</v>
      </c>
      <c r="B91" s="4">
        <v>60497.0</v>
      </c>
      <c r="C91" s="4">
        <v>835.0</v>
      </c>
      <c r="D91" s="36">
        <v>735.0</v>
      </c>
      <c r="E91" s="4">
        <v>18.0</v>
      </c>
      <c r="F91" s="36">
        <v>2162.0</v>
      </c>
      <c r="G91" s="1">
        <f t="shared" si="1"/>
        <v>3</v>
      </c>
    </row>
    <row r="92">
      <c r="A92" s="35">
        <v>45748.0</v>
      </c>
      <c r="B92" s="4">
        <v>75083.0</v>
      </c>
      <c r="C92" s="4">
        <v>1549.0</v>
      </c>
      <c r="D92" s="36">
        <v>1350.0</v>
      </c>
      <c r="E92" s="4">
        <v>29.0</v>
      </c>
      <c r="F92" s="36">
        <v>3323.0</v>
      </c>
      <c r="G92" s="1">
        <f t="shared" si="1"/>
        <v>4</v>
      </c>
    </row>
    <row r="93">
      <c r="A93" s="35">
        <v>45749.0</v>
      </c>
      <c r="B93" s="4">
        <v>106776.0</v>
      </c>
      <c r="C93" s="4">
        <v>2376.0</v>
      </c>
      <c r="D93" s="36">
        <v>2466.0</v>
      </c>
      <c r="E93" s="4">
        <v>51.0</v>
      </c>
      <c r="F93" s="36">
        <v>6117.0</v>
      </c>
      <c r="G93" s="1">
        <f t="shared" si="1"/>
        <v>4</v>
      </c>
    </row>
    <row r="94">
      <c r="A94" s="35">
        <v>45750.0</v>
      </c>
      <c r="B94" s="4">
        <v>38478.0</v>
      </c>
      <c r="C94" s="4">
        <v>394.0</v>
      </c>
      <c r="D94" s="36">
        <v>394.0</v>
      </c>
      <c r="E94" s="4">
        <v>7.0</v>
      </c>
      <c r="F94" s="36">
        <v>970.0</v>
      </c>
      <c r="G94" s="1">
        <f t="shared" si="1"/>
        <v>4</v>
      </c>
    </row>
    <row r="95">
      <c r="A95" s="35">
        <v>45751.0</v>
      </c>
      <c r="B95" s="4">
        <v>88425.0</v>
      </c>
      <c r="C95" s="4">
        <v>2853.0</v>
      </c>
      <c r="D95" s="36">
        <v>2412.0</v>
      </c>
      <c r="E95" s="4">
        <v>59.0</v>
      </c>
      <c r="F95" s="36">
        <v>8104.0</v>
      </c>
      <c r="G95" s="1">
        <f t="shared" si="1"/>
        <v>4</v>
      </c>
    </row>
    <row r="96">
      <c r="A96" s="35">
        <v>45752.0</v>
      </c>
      <c r="B96" s="4">
        <v>29606.0</v>
      </c>
      <c r="C96" s="4">
        <v>602.0</v>
      </c>
      <c r="D96" s="36">
        <v>564.0</v>
      </c>
      <c r="E96" s="4">
        <v>8.0</v>
      </c>
      <c r="F96" s="36">
        <v>942.0</v>
      </c>
      <c r="G96" s="1">
        <f t="shared" si="1"/>
        <v>4</v>
      </c>
    </row>
    <row r="97">
      <c r="A97" s="35">
        <v>45753.0</v>
      </c>
      <c r="B97" s="4">
        <v>110299.0</v>
      </c>
      <c r="C97" s="4">
        <v>2037.0</v>
      </c>
      <c r="D97" s="36">
        <v>2356.0</v>
      </c>
      <c r="E97" s="4">
        <v>37.0</v>
      </c>
      <c r="F97" s="36">
        <v>6077.0</v>
      </c>
      <c r="G97" s="1">
        <f t="shared" si="1"/>
        <v>4</v>
      </c>
    </row>
    <row r="98">
      <c r="A98" s="35">
        <v>45754.0</v>
      </c>
      <c r="B98" s="4">
        <v>95139.0</v>
      </c>
      <c r="C98" s="4">
        <v>2806.0</v>
      </c>
      <c r="D98" s="36">
        <v>3061.0</v>
      </c>
      <c r="E98" s="4">
        <v>51.0</v>
      </c>
      <c r="F98" s="36">
        <v>7430.0</v>
      </c>
      <c r="G98" s="1">
        <f t="shared" si="1"/>
        <v>4</v>
      </c>
    </row>
    <row r="99">
      <c r="A99" s="35">
        <v>45755.0</v>
      </c>
      <c r="B99" s="4">
        <v>102095.0</v>
      </c>
      <c r="C99" s="4">
        <v>2350.0</v>
      </c>
      <c r="D99" s="36">
        <v>2904.0</v>
      </c>
      <c r="E99" s="4">
        <v>37.0</v>
      </c>
      <c r="F99" s="36">
        <v>6922.0</v>
      </c>
      <c r="G99" s="1">
        <f t="shared" si="1"/>
        <v>4</v>
      </c>
    </row>
    <row r="100">
      <c r="A100" s="35">
        <v>45756.0</v>
      </c>
      <c r="B100" s="4">
        <v>66319.0</v>
      </c>
      <c r="C100" s="4">
        <v>788.0</v>
      </c>
      <c r="D100" s="36">
        <v>679.0</v>
      </c>
      <c r="E100" s="4">
        <v>15.0</v>
      </c>
      <c r="F100" s="36">
        <v>1737.0</v>
      </c>
      <c r="G100" s="1">
        <f t="shared" si="1"/>
        <v>4</v>
      </c>
    </row>
    <row r="101">
      <c r="A101" s="35">
        <v>45757.0</v>
      </c>
      <c r="B101" s="4">
        <v>64829.0</v>
      </c>
      <c r="C101" s="4">
        <v>1139.0</v>
      </c>
      <c r="D101" s="36">
        <v>962.0</v>
      </c>
      <c r="E101" s="4">
        <v>15.0</v>
      </c>
      <c r="F101" s="36">
        <v>2077.0</v>
      </c>
      <c r="G101" s="1">
        <f t="shared" si="1"/>
        <v>4</v>
      </c>
    </row>
    <row r="102">
      <c r="A102" s="35">
        <v>45758.0</v>
      </c>
      <c r="B102" s="4">
        <v>77950.0</v>
      </c>
      <c r="C102" s="4">
        <v>2622.0</v>
      </c>
      <c r="D102" s="36">
        <v>2303.0</v>
      </c>
      <c r="E102" s="4">
        <v>44.0</v>
      </c>
      <c r="F102" s="36">
        <v>8218.0</v>
      </c>
      <c r="G102" s="1">
        <f t="shared" si="1"/>
        <v>4</v>
      </c>
    </row>
    <row r="103">
      <c r="A103" s="35">
        <v>45759.0</v>
      </c>
      <c r="B103" s="4">
        <v>109882.0</v>
      </c>
      <c r="C103" s="4">
        <v>2216.0</v>
      </c>
      <c r="D103" s="36">
        <v>1513.0</v>
      </c>
      <c r="E103" s="4">
        <v>25.0</v>
      </c>
      <c r="F103" s="36">
        <v>2999.0</v>
      </c>
      <c r="G103" s="1">
        <f t="shared" si="1"/>
        <v>4</v>
      </c>
    </row>
    <row r="104">
      <c r="A104" s="35">
        <v>45760.0</v>
      </c>
      <c r="B104" s="4">
        <v>30168.0</v>
      </c>
      <c r="C104" s="4">
        <v>534.0</v>
      </c>
      <c r="D104" s="36">
        <v>575.0</v>
      </c>
      <c r="E104" s="4">
        <v>7.0</v>
      </c>
      <c r="F104" s="36">
        <v>1149.0</v>
      </c>
      <c r="G104" s="1">
        <f t="shared" si="1"/>
        <v>4</v>
      </c>
    </row>
    <row r="105">
      <c r="A105" s="35">
        <v>45761.0</v>
      </c>
      <c r="B105" s="4">
        <v>87700.0</v>
      </c>
      <c r="C105" s="4">
        <v>1213.0</v>
      </c>
      <c r="D105" s="36">
        <v>1132.0</v>
      </c>
      <c r="E105" s="4">
        <v>27.0</v>
      </c>
      <c r="F105" s="36">
        <v>4369.0</v>
      </c>
      <c r="G105" s="1">
        <f t="shared" si="1"/>
        <v>4</v>
      </c>
    </row>
    <row r="106">
      <c r="A106" s="35">
        <v>45762.0</v>
      </c>
      <c r="B106" s="4">
        <v>97251.0</v>
      </c>
      <c r="C106" s="4">
        <v>2596.0</v>
      </c>
      <c r="D106" s="36">
        <v>3362.0</v>
      </c>
      <c r="E106" s="4">
        <v>41.0</v>
      </c>
      <c r="F106" s="36">
        <v>8217.0</v>
      </c>
      <c r="G106" s="1">
        <f t="shared" si="1"/>
        <v>4</v>
      </c>
    </row>
    <row r="107">
      <c r="A107" s="35">
        <v>45763.0</v>
      </c>
      <c r="B107" s="4">
        <v>34338.0</v>
      </c>
      <c r="C107" s="4">
        <v>468.0</v>
      </c>
      <c r="D107" s="36">
        <v>292.0</v>
      </c>
      <c r="E107" s="4">
        <v>10.0</v>
      </c>
      <c r="F107" s="36">
        <v>1686.0</v>
      </c>
      <c r="G107" s="1">
        <f t="shared" si="1"/>
        <v>4</v>
      </c>
    </row>
    <row r="108">
      <c r="A108" s="35">
        <v>45764.0</v>
      </c>
      <c r="B108" s="4">
        <v>97838.0</v>
      </c>
      <c r="C108" s="4">
        <v>1187.0</v>
      </c>
      <c r="D108" s="36">
        <v>1620.0</v>
      </c>
      <c r="E108" s="4">
        <v>26.0</v>
      </c>
      <c r="F108" s="36">
        <v>4553.0</v>
      </c>
      <c r="G108" s="1">
        <f t="shared" si="1"/>
        <v>4</v>
      </c>
    </row>
    <row r="109">
      <c r="A109" s="35">
        <v>45765.0</v>
      </c>
      <c r="B109" s="4">
        <v>111480.0</v>
      </c>
      <c r="C109" s="4">
        <v>2388.0</v>
      </c>
      <c r="D109" s="36">
        <v>1933.0</v>
      </c>
      <c r="E109" s="4">
        <v>54.0</v>
      </c>
      <c r="F109" s="36">
        <v>7744.0</v>
      </c>
      <c r="G109" s="1">
        <f t="shared" si="1"/>
        <v>4</v>
      </c>
    </row>
    <row r="110">
      <c r="A110" s="35">
        <v>45766.0</v>
      </c>
      <c r="B110" s="4">
        <v>31279.0</v>
      </c>
      <c r="C110" s="4">
        <v>504.0</v>
      </c>
      <c r="D110" s="36">
        <v>595.0</v>
      </c>
      <c r="E110" s="4">
        <v>5.0</v>
      </c>
      <c r="F110" s="36">
        <v>832.0</v>
      </c>
      <c r="G110" s="1">
        <f t="shared" si="1"/>
        <v>4</v>
      </c>
    </row>
    <row r="111">
      <c r="A111" s="35">
        <v>45767.0</v>
      </c>
      <c r="B111" s="4">
        <v>50596.0</v>
      </c>
      <c r="C111" s="4">
        <v>903.0</v>
      </c>
      <c r="D111" s="36">
        <v>927.0</v>
      </c>
      <c r="E111" s="4">
        <v>21.0</v>
      </c>
      <c r="F111" s="36">
        <v>3780.0</v>
      </c>
      <c r="G111" s="1">
        <f t="shared" si="1"/>
        <v>4</v>
      </c>
    </row>
    <row r="112">
      <c r="A112" s="35">
        <v>45768.0</v>
      </c>
      <c r="B112" s="4">
        <v>100697.0</v>
      </c>
      <c r="C112" s="4">
        <v>2694.0</v>
      </c>
      <c r="D112" s="36">
        <v>2923.0</v>
      </c>
      <c r="E112" s="4">
        <v>69.0</v>
      </c>
      <c r="F112" s="36">
        <v>11284.0</v>
      </c>
      <c r="G112" s="1">
        <f t="shared" si="1"/>
        <v>4</v>
      </c>
    </row>
    <row r="113">
      <c r="A113" s="35">
        <v>45769.0</v>
      </c>
      <c r="B113" s="4">
        <v>102536.0</v>
      </c>
      <c r="C113" s="4">
        <v>2354.0</v>
      </c>
      <c r="D113" s="36">
        <v>2801.0</v>
      </c>
      <c r="E113" s="4">
        <v>36.0</v>
      </c>
      <c r="F113" s="36">
        <v>5763.0</v>
      </c>
      <c r="G113" s="1">
        <f t="shared" si="1"/>
        <v>4</v>
      </c>
    </row>
    <row r="114">
      <c r="A114" s="35">
        <v>45770.0</v>
      </c>
      <c r="B114" s="4">
        <v>89706.0</v>
      </c>
      <c r="C114" s="4">
        <v>2802.0</v>
      </c>
      <c r="D114" s="36">
        <v>1535.0</v>
      </c>
      <c r="E114" s="4">
        <v>52.0</v>
      </c>
      <c r="F114" s="36">
        <v>7724.0</v>
      </c>
      <c r="G114" s="1">
        <f t="shared" si="1"/>
        <v>4</v>
      </c>
    </row>
    <row r="115">
      <c r="A115" s="35">
        <v>45771.0</v>
      </c>
      <c r="B115" s="4">
        <v>101868.0</v>
      </c>
      <c r="C115" s="4">
        <v>1180.0</v>
      </c>
      <c r="D115" s="36">
        <v>1727.0</v>
      </c>
      <c r="E115" s="4">
        <v>29.0</v>
      </c>
      <c r="F115" s="36">
        <v>4524.0</v>
      </c>
      <c r="G115" s="1">
        <f t="shared" si="1"/>
        <v>4</v>
      </c>
    </row>
    <row r="116">
      <c r="A116" s="35">
        <v>45772.0</v>
      </c>
      <c r="B116" s="4">
        <v>51639.0</v>
      </c>
      <c r="C116" s="4">
        <v>1362.0</v>
      </c>
      <c r="D116" s="36">
        <v>1642.0</v>
      </c>
      <c r="E116" s="4">
        <v>28.0</v>
      </c>
      <c r="F116" s="36">
        <v>5669.0</v>
      </c>
      <c r="G116" s="1">
        <f t="shared" si="1"/>
        <v>4</v>
      </c>
    </row>
    <row r="117">
      <c r="A117" s="35">
        <v>45773.0</v>
      </c>
      <c r="B117" s="4">
        <v>84816.0</v>
      </c>
      <c r="C117" s="4">
        <v>1259.0</v>
      </c>
      <c r="D117" s="36">
        <v>1403.0</v>
      </c>
      <c r="E117" s="4">
        <v>27.0</v>
      </c>
      <c r="F117" s="36">
        <v>4630.0</v>
      </c>
      <c r="G117" s="1">
        <f t="shared" si="1"/>
        <v>4</v>
      </c>
    </row>
    <row r="118">
      <c r="A118" s="35">
        <v>45774.0</v>
      </c>
      <c r="B118" s="4">
        <v>39447.0</v>
      </c>
      <c r="C118" s="4">
        <v>656.0</v>
      </c>
      <c r="D118" s="36">
        <v>770.0</v>
      </c>
      <c r="E118" s="4">
        <v>11.0</v>
      </c>
      <c r="F118" s="36">
        <v>1508.0</v>
      </c>
      <c r="G118" s="1">
        <f t="shared" si="1"/>
        <v>4</v>
      </c>
    </row>
    <row r="119">
      <c r="A119" s="35">
        <v>45775.0</v>
      </c>
      <c r="B119" s="4">
        <v>76707.0</v>
      </c>
      <c r="C119" s="4">
        <v>879.0</v>
      </c>
      <c r="D119" s="36">
        <v>733.0</v>
      </c>
      <c r="E119" s="4">
        <v>17.0</v>
      </c>
      <c r="F119" s="36">
        <v>2954.0</v>
      </c>
      <c r="G119" s="1">
        <f t="shared" si="1"/>
        <v>4</v>
      </c>
    </row>
    <row r="120">
      <c r="A120" s="35">
        <v>45776.0</v>
      </c>
      <c r="B120" s="4">
        <v>53101.0</v>
      </c>
      <c r="C120" s="4">
        <v>993.0</v>
      </c>
      <c r="D120" s="36">
        <v>830.0</v>
      </c>
      <c r="E120" s="4">
        <v>19.0</v>
      </c>
      <c r="F120" s="36">
        <v>2771.0</v>
      </c>
      <c r="G120" s="1">
        <f t="shared" si="1"/>
        <v>4</v>
      </c>
    </row>
    <row r="121">
      <c r="A121" s="35">
        <v>45777.0</v>
      </c>
      <c r="B121" s="4">
        <v>76471.0</v>
      </c>
      <c r="C121" s="4">
        <v>1696.0</v>
      </c>
      <c r="D121" s="36">
        <v>1769.0</v>
      </c>
      <c r="E121" s="4">
        <v>30.0</v>
      </c>
      <c r="F121" s="36">
        <v>4114.0</v>
      </c>
      <c r="G121" s="1">
        <f t="shared" si="1"/>
        <v>4</v>
      </c>
    </row>
    <row r="122">
      <c r="A122" s="35">
        <v>45778.0</v>
      </c>
      <c r="B122" s="4">
        <v>24448.0</v>
      </c>
      <c r="C122" s="4">
        <v>256.0</v>
      </c>
      <c r="D122" s="36">
        <v>238.0</v>
      </c>
      <c r="E122" s="4">
        <v>5.0</v>
      </c>
      <c r="F122" s="36">
        <v>766.0</v>
      </c>
      <c r="G122" s="1">
        <f t="shared" si="1"/>
        <v>5</v>
      </c>
    </row>
    <row r="123">
      <c r="A123" s="35">
        <v>45779.0</v>
      </c>
      <c r="B123" s="4">
        <v>107312.0</v>
      </c>
      <c r="C123" s="4">
        <v>1699.0</v>
      </c>
      <c r="D123" s="36">
        <v>1489.0</v>
      </c>
      <c r="E123" s="4">
        <v>31.0</v>
      </c>
      <c r="F123" s="36">
        <v>3449.0</v>
      </c>
      <c r="G123" s="1">
        <f t="shared" si="1"/>
        <v>5</v>
      </c>
    </row>
    <row r="124">
      <c r="A124" s="35">
        <v>45780.0</v>
      </c>
      <c r="B124" s="4">
        <v>66041.0</v>
      </c>
      <c r="C124" s="4">
        <v>1702.0</v>
      </c>
      <c r="D124" s="36">
        <v>1890.0</v>
      </c>
      <c r="E124" s="4">
        <v>30.0</v>
      </c>
      <c r="F124" s="36">
        <v>4232.0</v>
      </c>
      <c r="G124" s="1">
        <f t="shared" si="1"/>
        <v>5</v>
      </c>
    </row>
    <row r="125">
      <c r="A125" s="35">
        <v>45781.0</v>
      </c>
      <c r="B125" s="4">
        <v>67456.0</v>
      </c>
      <c r="C125" s="4">
        <v>1814.0</v>
      </c>
      <c r="D125" s="36">
        <v>1683.0</v>
      </c>
      <c r="E125" s="4">
        <v>38.0</v>
      </c>
      <c r="F125" s="36">
        <v>5888.0</v>
      </c>
      <c r="G125" s="1">
        <f t="shared" si="1"/>
        <v>5</v>
      </c>
    </row>
    <row r="126">
      <c r="A126" s="35">
        <v>45782.0</v>
      </c>
      <c r="B126" s="4">
        <v>105881.0</v>
      </c>
      <c r="C126" s="4">
        <v>2191.0</v>
      </c>
      <c r="D126" s="36">
        <v>2368.0</v>
      </c>
      <c r="E126" s="4">
        <v>55.0</v>
      </c>
      <c r="F126" s="36">
        <v>8333.0</v>
      </c>
      <c r="G126" s="1">
        <f t="shared" si="1"/>
        <v>5</v>
      </c>
    </row>
    <row r="127">
      <c r="A127" s="35">
        <v>45783.0</v>
      </c>
      <c r="B127" s="4">
        <v>63438.0</v>
      </c>
      <c r="C127" s="4">
        <v>1031.0</v>
      </c>
      <c r="D127" s="36">
        <v>709.0</v>
      </c>
      <c r="E127" s="4">
        <v>21.0</v>
      </c>
      <c r="F127" s="36">
        <v>3399.0</v>
      </c>
      <c r="G127" s="1">
        <f t="shared" si="1"/>
        <v>5</v>
      </c>
    </row>
    <row r="128">
      <c r="A128" s="35">
        <v>45784.0</v>
      </c>
      <c r="B128" s="4">
        <v>80609.0</v>
      </c>
      <c r="C128" s="4">
        <v>2134.0</v>
      </c>
      <c r="D128" s="36">
        <v>2905.0</v>
      </c>
      <c r="E128" s="4">
        <v>33.0</v>
      </c>
      <c r="F128" s="36">
        <v>3394.0</v>
      </c>
      <c r="G128" s="1">
        <f t="shared" si="1"/>
        <v>5</v>
      </c>
    </row>
    <row r="129">
      <c r="A129" s="35">
        <v>45785.0</v>
      </c>
      <c r="B129" s="4">
        <v>36438.0</v>
      </c>
      <c r="C129" s="4">
        <v>542.0</v>
      </c>
      <c r="D129" s="36">
        <v>424.0</v>
      </c>
      <c r="E129" s="4">
        <v>7.0</v>
      </c>
      <c r="F129" s="36">
        <v>1127.0</v>
      </c>
      <c r="G129" s="1">
        <f t="shared" si="1"/>
        <v>5</v>
      </c>
    </row>
    <row r="130">
      <c r="A130" s="35">
        <v>45786.0</v>
      </c>
      <c r="B130" s="4">
        <v>85077.0</v>
      </c>
      <c r="C130" s="4">
        <v>2322.0</v>
      </c>
      <c r="D130" s="36">
        <v>1996.0</v>
      </c>
      <c r="E130" s="4">
        <v>55.0</v>
      </c>
      <c r="F130" s="36">
        <v>7949.0</v>
      </c>
      <c r="G130" s="1">
        <f t="shared" si="1"/>
        <v>5</v>
      </c>
    </row>
    <row r="131">
      <c r="A131" s="35">
        <v>45787.0</v>
      </c>
      <c r="B131" s="4">
        <v>73834.0</v>
      </c>
      <c r="C131" s="4">
        <v>2410.0</v>
      </c>
      <c r="D131" s="36">
        <v>2808.0</v>
      </c>
      <c r="E131" s="4">
        <v>48.0</v>
      </c>
      <c r="F131" s="36">
        <v>7077.0</v>
      </c>
      <c r="G131" s="1">
        <f t="shared" si="1"/>
        <v>5</v>
      </c>
    </row>
    <row r="132">
      <c r="A132" s="35">
        <v>45788.0</v>
      </c>
      <c r="B132" s="4">
        <v>21139.0</v>
      </c>
      <c r="C132" s="4">
        <v>275.0</v>
      </c>
      <c r="D132" s="36">
        <v>350.0</v>
      </c>
      <c r="E132" s="4">
        <v>5.0</v>
      </c>
      <c r="F132" s="36">
        <v>615.0</v>
      </c>
      <c r="G132" s="1">
        <f t="shared" si="1"/>
        <v>5</v>
      </c>
    </row>
    <row r="133">
      <c r="A133" s="35">
        <v>45789.0</v>
      </c>
      <c r="B133" s="4">
        <v>37740.0</v>
      </c>
      <c r="C133" s="4">
        <v>955.0</v>
      </c>
      <c r="D133" s="36">
        <v>1079.0</v>
      </c>
      <c r="E133" s="4">
        <v>14.0</v>
      </c>
      <c r="F133" s="36">
        <v>3124.0</v>
      </c>
      <c r="G133" s="1">
        <f t="shared" si="1"/>
        <v>5</v>
      </c>
    </row>
    <row r="134">
      <c r="A134" s="35">
        <v>45790.0</v>
      </c>
      <c r="B134" s="4">
        <v>52306.0</v>
      </c>
      <c r="C134" s="4">
        <v>932.0</v>
      </c>
      <c r="D134" s="36">
        <v>904.0</v>
      </c>
      <c r="E134" s="4">
        <v>17.0</v>
      </c>
      <c r="F134" s="36">
        <v>2288.0</v>
      </c>
      <c r="G134" s="1">
        <f t="shared" si="1"/>
        <v>5</v>
      </c>
    </row>
    <row r="135">
      <c r="A135" s="35">
        <v>45791.0</v>
      </c>
      <c r="B135" s="4">
        <v>117564.0</v>
      </c>
      <c r="C135" s="4">
        <v>1981.0</v>
      </c>
      <c r="D135" s="36">
        <v>2552.0</v>
      </c>
      <c r="E135" s="4">
        <v>25.0</v>
      </c>
      <c r="F135" s="36">
        <v>2710.0</v>
      </c>
      <c r="G135" s="1">
        <f t="shared" si="1"/>
        <v>5</v>
      </c>
    </row>
    <row r="136">
      <c r="A136" s="35">
        <v>45792.0</v>
      </c>
      <c r="B136" s="4">
        <v>25364.0</v>
      </c>
      <c r="C136" s="4">
        <v>434.0</v>
      </c>
      <c r="D136" s="36">
        <v>294.0</v>
      </c>
      <c r="E136" s="4">
        <v>11.0</v>
      </c>
      <c r="F136" s="36">
        <v>1194.0</v>
      </c>
      <c r="G136" s="1">
        <f t="shared" si="1"/>
        <v>5</v>
      </c>
    </row>
    <row r="137">
      <c r="A137" s="35">
        <v>45793.0</v>
      </c>
      <c r="B137" s="4">
        <v>74630.0</v>
      </c>
      <c r="C137" s="4">
        <v>1584.0</v>
      </c>
      <c r="D137" s="36">
        <v>1102.0</v>
      </c>
      <c r="E137" s="4">
        <v>40.0</v>
      </c>
      <c r="F137" s="36">
        <v>5770.0</v>
      </c>
      <c r="G137" s="1">
        <f t="shared" si="1"/>
        <v>5</v>
      </c>
    </row>
    <row r="138">
      <c r="A138" s="35">
        <v>45794.0</v>
      </c>
      <c r="B138" s="4">
        <v>63489.0</v>
      </c>
      <c r="C138" s="4">
        <v>1236.0</v>
      </c>
      <c r="D138" s="36">
        <v>1066.0</v>
      </c>
      <c r="E138" s="4">
        <v>17.0</v>
      </c>
      <c r="F138" s="36">
        <v>2611.0</v>
      </c>
      <c r="G138" s="1">
        <f t="shared" si="1"/>
        <v>5</v>
      </c>
    </row>
    <row r="139">
      <c r="A139" s="35">
        <v>45795.0</v>
      </c>
      <c r="B139" s="4">
        <v>105220.0</v>
      </c>
      <c r="C139" s="4">
        <v>1702.0</v>
      </c>
      <c r="D139" s="36">
        <v>2200.0</v>
      </c>
      <c r="E139" s="4">
        <v>45.0</v>
      </c>
      <c r="F139" s="36">
        <v>6598.0</v>
      </c>
      <c r="G139" s="1">
        <f t="shared" si="1"/>
        <v>5</v>
      </c>
    </row>
    <row r="140">
      <c r="A140" s="35">
        <v>45796.0</v>
      </c>
      <c r="B140" s="4">
        <v>68778.0</v>
      </c>
      <c r="C140" s="4">
        <v>2502.0</v>
      </c>
      <c r="D140" s="36">
        <v>2106.0</v>
      </c>
      <c r="E140" s="4">
        <v>56.0</v>
      </c>
      <c r="F140" s="36">
        <v>8625.0</v>
      </c>
      <c r="G140" s="1">
        <f t="shared" si="1"/>
        <v>5</v>
      </c>
    </row>
    <row r="141">
      <c r="A141" s="35">
        <v>45797.0</v>
      </c>
      <c r="B141" s="4">
        <v>93302.0</v>
      </c>
      <c r="C141" s="4">
        <v>973.0</v>
      </c>
      <c r="D141" s="36">
        <v>774.0</v>
      </c>
      <c r="E141" s="4">
        <v>13.0</v>
      </c>
      <c r="F141" s="36">
        <v>1478.0</v>
      </c>
      <c r="G141" s="1">
        <f t="shared" si="1"/>
        <v>5</v>
      </c>
    </row>
    <row r="142">
      <c r="A142" s="35">
        <v>45798.0</v>
      </c>
      <c r="B142" s="4">
        <v>91348.0</v>
      </c>
      <c r="C142" s="4">
        <v>1383.0</v>
      </c>
      <c r="D142" s="36">
        <v>1440.0</v>
      </c>
      <c r="E142" s="4">
        <v>31.0</v>
      </c>
      <c r="F142" s="36">
        <v>5712.0</v>
      </c>
      <c r="G142" s="1">
        <f t="shared" si="1"/>
        <v>5</v>
      </c>
    </row>
    <row r="143">
      <c r="A143" s="35">
        <v>45799.0</v>
      </c>
      <c r="B143" s="4">
        <v>70267.0</v>
      </c>
      <c r="C143" s="4">
        <v>819.0</v>
      </c>
      <c r="D143" s="36">
        <v>1027.0</v>
      </c>
      <c r="E143" s="4">
        <v>16.0</v>
      </c>
      <c r="F143" s="36">
        <v>2692.0</v>
      </c>
      <c r="G143" s="1">
        <f t="shared" si="1"/>
        <v>5</v>
      </c>
    </row>
    <row r="144">
      <c r="A144" s="35">
        <v>45800.0</v>
      </c>
      <c r="B144" s="4">
        <v>80874.0</v>
      </c>
      <c r="C144" s="4">
        <v>1432.0</v>
      </c>
      <c r="D144" s="36">
        <v>1341.0</v>
      </c>
      <c r="E144" s="4">
        <v>24.0</v>
      </c>
      <c r="F144" s="36">
        <v>4057.0</v>
      </c>
      <c r="G144" s="1">
        <f t="shared" si="1"/>
        <v>5</v>
      </c>
    </row>
    <row r="145">
      <c r="A145" s="35">
        <v>45801.0</v>
      </c>
      <c r="B145" s="4">
        <v>103764.0</v>
      </c>
      <c r="C145" s="4">
        <v>1198.0</v>
      </c>
      <c r="D145" s="36">
        <v>1091.0</v>
      </c>
      <c r="E145" s="4">
        <v>19.0</v>
      </c>
      <c r="F145" s="36">
        <v>3422.0</v>
      </c>
      <c r="G145" s="1">
        <f t="shared" si="1"/>
        <v>5</v>
      </c>
    </row>
    <row r="146">
      <c r="A146" s="35">
        <v>45802.0</v>
      </c>
      <c r="B146" s="4">
        <v>72519.0</v>
      </c>
      <c r="C146" s="4">
        <v>2402.0</v>
      </c>
      <c r="D146" s="36">
        <v>2871.0</v>
      </c>
      <c r="E146" s="4">
        <v>29.0</v>
      </c>
      <c r="F146" s="36">
        <v>4566.0</v>
      </c>
      <c r="G146" s="1">
        <f t="shared" si="1"/>
        <v>5</v>
      </c>
    </row>
    <row r="147">
      <c r="A147" s="35">
        <v>45803.0</v>
      </c>
      <c r="B147" s="4">
        <v>81742.0</v>
      </c>
      <c r="C147" s="4">
        <v>2310.0</v>
      </c>
      <c r="D147" s="36">
        <v>2913.0</v>
      </c>
      <c r="E147" s="4">
        <v>50.0</v>
      </c>
      <c r="F147" s="36">
        <v>8332.0</v>
      </c>
      <c r="G147" s="1">
        <f t="shared" si="1"/>
        <v>5</v>
      </c>
    </row>
    <row r="148">
      <c r="A148" s="35">
        <v>45804.0</v>
      </c>
      <c r="B148" s="4">
        <v>46255.0</v>
      </c>
      <c r="C148" s="4">
        <v>811.0</v>
      </c>
      <c r="D148" s="36">
        <v>660.0</v>
      </c>
      <c r="E148" s="4">
        <v>11.0</v>
      </c>
      <c r="F148" s="36">
        <v>2062.0</v>
      </c>
      <c r="G148" s="1">
        <f t="shared" si="1"/>
        <v>5</v>
      </c>
    </row>
    <row r="149">
      <c r="A149" s="35">
        <v>45805.0</v>
      </c>
      <c r="B149" s="4">
        <v>94627.0</v>
      </c>
      <c r="C149" s="4">
        <v>2714.0</v>
      </c>
      <c r="D149" s="36">
        <v>3004.0</v>
      </c>
      <c r="E149" s="4">
        <v>57.0</v>
      </c>
      <c r="F149" s="36">
        <v>10414.0</v>
      </c>
      <c r="G149" s="1">
        <f t="shared" si="1"/>
        <v>5</v>
      </c>
    </row>
    <row r="150">
      <c r="A150" s="35">
        <v>45806.0</v>
      </c>
      <c r="B150" s="4">
        <v>64109.0</v>
      </c>
      <c r="C150" s="4">
        <v>1488.0</v>
      </c>
      <c r="D150" s="36">
        <v>971.0</v>
      </c>
      <c r="E150" s="4">
        <v>34.0</v>
      </c>
      <c r="F150" s="36">
        <v>4550.0</v>
      </c>
      <c r="G150" s="1">
        <f t="shared" si="1"/>
        <v>5</v>
      </c>
    </row>
    <row r="151">
      <c r="A151" s="35">
        <v>45807.0</v>
      </c>
      <c r="B151" s="4">
        <v>56435.0</v>
      </c>
      <c r="C151" s="4">
        <v>1325.0</v>
      </c>
      <c r="D151" s="36">
        <v>1551.0</v>
      </c>
      <c r="E151" s="4">
        <v>26.0</v>
      </c>
      <c r="F151" s="36">
        <v>4441.0</v>
      </c>
      <c r="G151" s="1">
        <f t="shared" si="1"/>
        <v>5</v>
      </c>
    </row>
    <row r="152">
      <c r="A152" s="35">
        <v>45808.0</v>
      </c>
      <c r="B152" s="4">
        <v>33813.0</v>
      </c>
      <c r="C152" s="4">
        <v>407.0</v>
      </c>
      <c r="D152" s="36">
        <v>307.0</v>
      </c>
      <c r="E152" s="4">
        <v>5.0</v>
      </c>
      <c r="F152" s="36">
        <v>902.0</v>
      </c>
      <c r="G152" s="1">
        <f t="shared" si="1"/>
        <v>5</v>
      </c>
    </row>
    <row r="153">
      <c r="A153" s="35">
        <v>45809.0</v>
      </c>
      <c r="B153" s="4">
        <v>66532.0</v>
      </c>
      <c r="C153" s="4">
        <v>1613.0</v>
      </c>
      <c r="D153" s="36">
        <v>1095.0</v>
      </c>
      <c r="E153" s="4">
        <v>24.0</v>
      </c>
      <c r="F153" s="36">
        <v>3337.0</v>
      </c>
      <c r="G153" s="1">
        <f t="shared" si="1"/>
        <v>6</v>
      </c>
    </row>
    <row r="154">
      <c r="A154" s="35">
        <v>45810.0</v>
      </c>
      <c r="B154" s="4">
        <v>103974.0</v>
      </c>
      <c r="C154" s="4">
        <v>2068.0</v>
      </c>
      <c r="D154" s="36">
        <v>2821.0</v>
      </c>
      <c r="E154" s="4">
        <v>52.0</v>
      </c>
      <c r="F154" s="36">
        <v>5089.0</v>
      </c>
      <c r="G154" s="1">
        <f t="shared" si="1"/>
        <v>6</v>
      </c>
    </row>
    <row r="155">
      <c r="A155" s="35">
        <v>45811.0</v>
      </c>
      <c r="B155" s="4">
        <v>35392.0</v>
      </c>
      <c r="C155" s="4">
        <v>676.0</v>
      </c>
      <c r="D155" s="36">
        <v>828.0</v>
      </c>
      <c r="E155" s="4">
        <v>16.0</v>
      </c>
      <c r="F155" s="36">
        <v>2889.0</v>
      </c>
      <c r="G155" s="1">
        <f t="shared" si="1"/>
        <v>6</v>
      </c>
    </row>
    <row r="156">
      <c r="A156" s="35">
        <v>45812.0</v>
      </c>
      <c r="B156" s="4">
        <v>69161.0</v>
      </c>
      <c r="C156" s="4">
        <v>1584.0</v>
      </c>
      <c r="D156" s="36">
        <v>1531.0</v>
      </c>
      <c r="E156" s="4">
        <v>37.0</v>
      </c>
      <c r="F156" s="36">
        <v>4150.0</v>
      </c>
      <c r="G156" s="1">
        <f t="shared" si="1"/>
        <v>6</v>
      </c>
    </row>
    <row r="157">
      <c r="A157" s="35">
        <v>45813.0</v>
      </c>
      <c r="B157" s="4">
        <v>80677.0</v>
      </c>
      <c r="C157" s="4">
        <v>2353.0</v>
      </c>
      <c r="D157" s="36">
        <v>1604.0</v>
      </c>
      <c r="E157" s="4">
        <v>52.0</v>
      </c>
      <c r="F157" s="36">
        <v>6829.0</v>
      </c>
      <c r="G157" s="1">
        <f t="shared" si="1"/>
        <v>6</v>
      </c>
    </row>
    <row r="158">
      <c r="A158" s="35">
        <v>45814.0</v>
      </c>
      <c r="B158" s="4">
        <v>93359.0</v>
      </c>
      <c r="C158" s="4">
        <v>1868.0</v>
      </c>
      <c r="D158" s="36">
        <v>1915.0</v>
      </c>
      <c r="E158" s="4">
        <v>32.0</v>
      </c>
      <c r="F158" s="36">
        <v>4092.0</v>
      </c>
      <c r="G158" s="1">
        <f t="shared" si="1"/>
        <v>6</v>
      </c>
    </row>
    <row r="159">
      <c r="A159" s="35">
        <v>45815.0</v>
      </c>
      <c r="B159" s="4">
        <v>78392.0</v>
      </c>
      <c r="C159" s="4">
        <v>1829.0</v>
      </c>
      <c r="D159" s="36">
        <v>1556.0</v>
      </c>
      <c r="E159" s="4">
        <v>45.0</v>
      </c>
      <c r="F159" s="36">
        <v>8453.0</v>
      </c>
      <c r="G159" s="1">
        <f t="shared" si="1"/>
        <v>6</v>
      </c>
    </row>
    <row r="160">
      <c r="A160" s="35">
        <v>45816.0</v>
      </c>
      <c r="B160" s="4">
        <v>107060.0</v>
      </c>
      <c r="C160" s="4">
        <v>2532.0</v>
      </c>
      <c r="D160" s="36">
        <v>2042.0</v>
      </c>
      <c r="E160" s="4">
        <v>42.0</v>
      </c>
      <c r="F160" s="36">
        <v>7701.0</v>
      </c>
      <c r="G160" s="1">
        <f t="shared" si="1"/>
        <v>6</v>
      </c>
    </row>
    <row r="161">
      <c r="A161" s="35">
        <v>45817.0</v>
      </c>
      <c r="B161" s="4">
        <v>49858.0</v>
      </c>
      <c r="C161" s="4">
        <v>789.0</v>
      </c>
      <c r="D161" s="36">
        <v>770.0</v>
      </c>
      <c r="E161" s="4">
        <v>10.0</v>
      </c>
      <c r="F161" s="36">
        <v>1509.0</v>
      </c>
      <c r="G161" s="1">
        <f t="shared" si="1"/>
        <v>6</v>
      </c>
    </row>
    <row r="162">
      <c r="A162" s="35">
        <v>45818.0</v>
      </c>
      <c r="B162" s="4">
        <v>92974.0</v>
      </c>
      <c r="C162" s="4">
        <v>2773.0</v>
      </c>
      <c r="D162" s="36">
        <v>2050.0</v>
      </c>
      <c r="E162" s="4">
        <v>35.0</v>
      </c>
      <c r="F162" s="36">
        <v>5401.0</v>
      </c>
      <c r="G162" s="1">
        <f t="shared" si="1"/>
        <v>6</v>
      </c>
    </row>
    <row r="163">
      <c r="A163" s="35">
        <v>45819.0</v>
      </c>
      <c r="B163" s="4">
        <v>93927.0</v>
      </c>
      <c r="C163" s="4">
        <v>1478.0</v>
      </c>
      <c r="D163" s="36">
        <v>1062.0</v>
      </c>
      <c r="E163" s="4">
        <v>17.0</v>
      </c>
      <c r="F163" s="36">
        <v>3226.0</v>
      </c>
      <c r="G163" s="1">
        <f t="shared" si="1"/>
        <v>6</v>
      </c>
    </row>
    <row r="164">
      <c r="A164" s="35">
        <v>45820.0</v>
      </c>
      <c r="B164" s="4">
        <v>31823.0</v>
      </c>
      <c r="C164" s="4">
        <v>508.0</v>
      </c>
      <c r="D164" s="36">
        <v>351.0</v>
      </c>
      <c r="E164" s="4">
        <v>11.0</v>
      </c>
      <c r="F164" s="36">
        <v>1858.0</v>
      </c>
      <c r="G164" s="1">
        <f t="shared" si="1"/>
        <v>6</v>
      </c>
    </row>
    <row r="165">
      <c r="A165" s="35">
        <v>45821.0</v>
      </c>
      <c r="B165" s="4">
        <v>59219.0</v>
      </c>
      <c r="C165" s="4">
        <v>1695.0</v>
      </c>
      <c r="D165" s="36">
        <v>2012.0</v>
      </c>
      <c r="E165" s="4">
        <v>34.0</v>
      </c>
      <c r="F165" s="36">
        <v>6351.0</v>
      </c>
      <c r="G165" s="1">
        <f t="shared" si="1"/>
        <v>6</v>
      </c>
    </row>
    <row r="166">
      <c r="A166" s="35">
        <v>45822.0</v>
      </c>
      <c r="B166" s="4">
        <v>73802.0</v>
      </c>
      <c r="C166" s="4">
        <v>1658.0</v>
      </c>
      <c r="D166" s="36">
        <v>1269.0</v>
      </c>
      <c r="E166" s="4">
        <v>25.0</v>
      </c>
      <c r="F166" s="36">
        <v>4429.0</v>
      </c>
      <c r="G166" s="1">
        <f t="shared" si="1"/>
        <v>6</v>
      </c>
    </row>
    <row r="167">
      <c r="A167" s="35">
        <v>45823.0</v>
      </c>
      <c r="B167" s="4">
        <v>88524.0</v>
      </c>
      <c r="C167" s="4">
        <v>2800.0</v>
      </c>
      <c r="D167" s="36">
        <v>2039.0</v>
      </c>
      <c r="E167" s="4">
        <v>63.0</v>
      </c>
      <c r="F167" s="36">
        <v>11252.0</v>
      </c>
      <c r="G167" s="1">
        <f t="shared" si="1"/>
        <v>6</v>
      </c>
    </row>
    <row r="168">
      <c r="A168" s="35">
        <v>45824.0</v>
      </c>
      <c r="B168" s="4">
        <v>96726.0</v>
      </c>
      <c r="C168" s="4">
        <v>3424.0</v>
      </c>
      <c r="D168" s="36">
        <v>3824.0</v>
      </c>
      <c r="E168" s="4">
        <v>52.0</v>
      </c>
      <c r="F168" s="36">
        <v>7945.0</v>
      </c>
      <c r="G168" s="1">
        <f t="shared" si="1"/>
        <v>6</v>
      </c>
    </row>
    <row r="169">
      <c r="A169" s="35">
        <v>45825.0</v>
      </c>
      <c r="B169" s="4">
        <v>36420.0</v>
      </c>
      <c r="C169" s="4">
        <v>662.0</v>
      </c>
      <c r="D169" s="36">
        <v>479.0</v>
      </c>
      <c r="E169" s="4">
        <v>7.0</v>
      </c>
      <c r="F169" s="36">
        <v>1534.0</v>
      </c>
      <c r="G169" s="1">
        <f t="shared" si="1"/>
        <v>6</v>
      </c>
    </row>
    <row r="170">
      <c r="A170" s="35">
        <v>45826.0</v>
      </c>
      <c r="B170" s="4">
        <v>46221.0</v>
      </c>
      <c r="C170" s="4">
        <v>390.0</v>
      </c>
      <c r="D170" s="36">
        <v>554.0</v>
      </c>
      <c r="E170" s="4">
        <v>6.0</v>
      </c>
      <c r="F170" s="36">
        <v>1072.0</v>
      </c>
      <c r="G170" s="1">
        <f t="shared" si="1"/>
        <v>6</v>
      </c>
    </row>
    <row r="171">
      <c r="A171" s="35">
        <v>45827.0</v>
      </c>
      <c r="B171" s="4">
        <v>54089.0</v>
      </c>
      <c r="C171" s="4">
        <v>1501.0</v>
      </c>
      <c r="D171" s="36">
        <v>1190.0</v>
      </c>
      <c r="E171" s="4">
        <v>20.0</v>
      </c>
      <c r="F171" s="36">
        <v>3572.0</v>
      </c>
      <c r="G171" s="1">
        <f t="shared" si="1"/>
        <v>6</v>
      </c>
    </row>
    <row r="172">
      <c r="A172" s="35">
        <v>45828.0</v>
      </c>
      <c r="B172" s="4">
        <v>66874.0</v>
      </c>
      <c r="C172" s="4">
        <v>1626.0</v>
      </c>
      <c r="D172" s="36">
        <v>1879.0</v>
      </c>
      <c r="E172" s="4">
        <v>39.0</v>
      </c>
      <c r="F172" s="36">
        <v>6844.0</v>
      </c>
      <c r="G172" s="1">
        <f t="shared" si="1"/>
        <v>6</v>
      </c>
    </row>
    <row r="173">
      <c r="A173" s="35">
        <v>45829.0</v>
      </c>
      <c r="B173" s="4">
        <v>91720.0</v>
      </c>
      <c r="C173" s="4">
        <v>2344.0</v>
      </c>
      <c r="D173" s="36">
        <v>2869.0</v>
      </c>
      <c r="E173" s="4">
        <v>48.0</v>
      </c>
      <c r="F173" s="36">
        <v>7760.0</v>
      </c>
      <c r="G173" s="1">
        <f t="shared" si="1"/>
        <v>6</v>
      </c>
    </row>
    <row r="174">
      <c r="A174" s="35">
        <v>45830.0</v>
      </c>
      <c r="B174" s="4">
        <v>91964.0</v>
      </c>
      <c r="C174" s="4">
        <v>2823.0</v>
      </c>
      <c r="D174" s="36">
        <v>3160.0</v>
      </c>
      <c r="E174" s="4">
        <v>47.0</v>
      </c>
      <c r="F174" s="36">
        <v>6828.0</v>
      </c>
      <c r="G174" s="1">
        <f t="shared" si="1"/>
        <v>6</v>
      </c>
    </row>
    <row r="175">
      <c r="A175" s="35">
        <v>45831.0</v>
      </c>
      <c r="B175" s="4">
        <v>70888.0</v>
      </c>
      <c r="C175" s="4">
        <v>1202.0</v>
      </c>
      <c r="D175" s="36">
        <v>1493.0</v>
      </c>
      <c r="E175" s="4">
        <v>27.0</v>
      </c>
      <c r="F175" s="36">
        <v>4778.0</v>
      </c>
      <c r="G175" s="1">
        <f t="shared" si="1"/>
        <v>6</v>
      </c>
    </row>
    <row r="176">
      <c r="A176" s="35">
        <v>45832.0</v>
      </c>
      <c r="B176" s="4">
        <v>85428.0</v>
      </c>
      <c r="C176" s="4">
        <v>930.0</v>
      </c>
      <c r="D176" s="36">
        <v>1150.0</v>
      </c>
      <c r="E176" s="4">
        <v>21.0</v>
      </c>
      <c r="F176" s="36">
        <v>2736.0</v>
      </c>
      <c r="G176" s="1">
        <f t="shared" si="1"/>
        <v>6</v>
      </c>
    </row>
    <row r="177">
      <c r="A177" s="35">
        <v>45833.0</v>
      </c>
      <c r="B177" s="4">
        <v>36396.0</v>
      </c>
      <c r="C177" s="4">
        <v>611.0</v>
      </c>
      <c r="D177" s="36">
        <v>477.0</v>
      </c>
      <c r="E177" s="4">
        <v>10.0</v>
      </c>
      <c r="F177" s="36">
        <v>1991.0</v>
      </c>
      <c r="G177" s="1">
        <f t="shared" si="1"/>
        <v>6</v>
      </c>
    </row>
    <row r="178">
      <c r="A178" s="35">
        <v>45834.0</v>
      </c>
      <c r="B178" s="4">
        <v>78357.0</v>
      </c>
      <c r="C178" s="4">
        <v>1540.0</v>
      </c>
      <c r="D178" s="36">
        <v>1818.0</v>
      </c>
      <c r="E178" s="4">
        <v>33.0</v>
      </c>
      <c r="F178" s="36">
        <v>5566.0</v>
      </c>
      <c r="G178" s="1">
        <f t="shared" si="1"/>
        <v>6</v>
      </c>
    </row>
    <row r="179">
      <c r="A179" s="35">
        <v>45835.0</v>
      </c>
      <c r="B179" s="4">
        <v>39906.0</v>
      </c>
      <c r="C179" s="4">
        <v>885.0</v>
      </c>
      <c r="D179" s="36">
        <v>1028.0</v>
      </c>
      <c r="E179" s="4">
        <v>17.0</v>
      </c>
      <c r="F179" s="36">
        <v>2660.0</v>
      </c>
      <c r="G179" s="1">
        <f t="shared" si="1"/>
        <v>6</v>
      </c>
    </row>
    <row r="180">
      <c r="A180" s="35">
        <v>45836.0</v>
      </c>
      <c r="B180" s="4">
        <v>36228.0</v>
      </c>
      <c r="C180" s="4">
        <v>656.0</v>
      </c>
      <c r="D180" s="36">
        <v>722.0</v>
      </c>
      <c r="E180" s="4">
        <v>11.0</v>
      </c>
      <c r="F180" s="36">
        <v>1760.0</v>
      </c>
      <c r="G180" s="1">
        <f t="shared" si="1"/>
        <v>6</v>
      </c>
    </row>
    <row r="181">
      <c r="A181" s="35">
        <v>45837.0</v>
      </c>
      <c r="B181" s="4">
        <v>39763.0</v>
      </c>
      <c r="C181" s="4">
        <v>491.0</v>
      </c>
      <c r="D181" s="36">
        <v>423.0</v>
      </c>
      <c r="E181" s="4">
        <v>12.0</v>
      </c>
      <c r="F181" s="36">
        <v>1614.0</v>
      </c>
      <c r="G181" s="1">
        <f t="shared" si="1"/>
        <v>6</v>
      </c>
    </row>
    <row r="182">
      <c r="A182" s="35">
        <v>45838.0</v>
      </c>
      <c r="B182" s="4">
        <v>56341.0</v>
      </c>
      <c r="C182" s="4">
        <v>1160.0</v>
      </c>
      <c r="D182" s="36">
        <v>1524.0</v>
      </c>
      <c r="E182" s="4">
        <v>22.0</v>
      </c>
      <c r="F182" s="36">
        <v>2871.0</v>
      </c>
      <c r="G182" s="1">
        <f t="shared" si="1"/>
        <v>6</v>
      </c>
    </row>
    <row r="183">
      <c r="A183" s="35">
        <v>45839.0</v>
      </c>
      <c r="B183" s="4">
        <v>102174.0</v>
      </c>
      <c r="C183" s="4">
        <v>2796.0</v>
      </c>
      <c r="D183" s="36">
        <v>2695.0</v>
      </c>
      <c r="E183" s="4">
        <v>61.0</v>
      </c>
      <c r="F183" s="36">
        <v>11073.0</v>
      </c>
      <c r="G183" s="1">
        <f t="shared" si="1"/>
        <v>7</v>
      </c>
    </row>
    <row r="184">
      <c r="A184" s="35">
        <v>45840.0</v>
      </c>
      <c r="B184" s="4">
        <v>37030.0</v>
      </c>
      <c r="C184" s="4">
        <v>905.0</v>
      </c>
      <c r="D184" s="36">
        <v>540.0</v>
      </c>
      <c r="E184" s="4">
        <v>18.0</v>
      </c>
      <c r="F184" s="36">
        <v>3241.0</v>
      </c>
      <c r="G184" s="1">
        <f t="shared" si="1"/>
        <v>7</v>
      </c>
    </row>
    <row r="185">
      <c r="A185" s="35">
        <v>45841.0</v>
      </c>
      <c r="B185" s="4">
        <v>73230.0</v>
      </c>
      <c r="C185" s="4">
        <v>1588.0</v>
      </c>
      <c r="D185" s="36">
        <v>1728.0</v>
      </c>
      <c r="E185" s="4">
        <v>20.0</v>
      </c>
      <c r="F185" s="36">
        <v>3058.0</v>
      </c>
      <c r="G185" s="1">
        <f t="shared" si="1"/>
        <v>7</v>
      </c>
    </row>
    <row r="186">
      <c r="A186" s="35">
        <v>45842.0</v>
      </c>
      <c r="B186" s="4">
        <v>84455.0</v>
      </c>
      <c r="C186" s="4">
        <v>1691.0</v>
      </c>
      <c r="D186" s="36">
        <v>1068.0</v>
      </c>
      <c r="E186" s="4">
        <v>21.0</v>
      </c>
      <c r="F186" s="36">
        <v>4326.0</v>
      </c>
      <c r="G186" s="1">
        <f t="shared" si="1"/>
        <v>7</v>
      </c>
    </row>
    <row r="187">
      <c r="A187" s="35">
        <v>45843.0</v>
      </c>
      <c r="B187" s="4">
        <v>92695.0</v>
      </c>
      <c r="C187" s="4">
        <v>3065.0</v>
      </c>
      <c r="D187" s="36">
        <v>2735.0</v>
      </c>
      <c r="E187" s="4">
        <v>42.0</v>
      </c>
      <c r="F187" s="36">
        <v>4995.0</v>
      </c>
      <c r="G187" s="1">
        <f t="shared" si="1"/>
        <v>7</v>
      </c>
    </row>
    <row r="188">
      <c r="A188" s="35">
        <v>45844.0</v>
      </c>
      <c r="B188" s="4">
        <v>32267.0</v>
      </c>
      <c r="C188" s="4">
        <v>687.0</v>
      </c>
      <c r="D188" s="36">
        <v>577.0</v>
      </c>
      <c r="E188" s="4">
        <v>13.0</v>
      </c>
      <c r="F188" s="36">
        <v>1117.0</v>
      </c>
      <c r="G188" s="1">
        <f t="shared" si="1"/>
        <v>7</v>
      </c>
    </row>
    <row r="189">
      <c r="A189" s="35">
        <v>45845.0</v>
      </c>
      <c r="B189" s="4">
        <v>49360.0</v>
      </c>
      <c r="C189" s="4">
        <v>1379.0</v>
      </c>
      <c r="D189" s="36">
        <v>1306.0</v>
      </c>
      <c r="E189" s="4">
        <v>33.0</v>
      </c>
      <c r="F189" s="36">
        <v>5006.0</v>
      </c>
      <c r="G189" s="1">
        <f t="shared" si="1"/>
        <v>7</v>
      </c>
    </row>
    <row r="190">
      <c r="A190" s="35">
        <v>45846.0</v>
      </c>
      <c r="B190" s="4">
        <v>89246.0</v>
      </c>
      <c r="C190" s="4">
        <v>1769.0</v>
      </c>
      <c r="D190" s="36">
        <v>2301.0</v>
      </c>
      <c r="E190" s="4">
        <v>38.0</v>
      </c>
      <c r="F190" s="36">
        <v>4229.0</v>
      </c>
      <c r="G190" s="1">
        <f t="shared" si="1"/>
        <v>7</v>
      </c>
    </row>
    <row r="191">
      <c r="A191" s="35">
        <v>45847.0</v>
      </c>
      <c r="B191" s="4">
        <v>65614.0</v>
      </c>
      <c r="C191" s="4">
        <v>1094.0</v>
      </c>
      <c r="D191" s="36">
        <v>1319.0</v>
      </c>
      <c r="E191" s="4">
        <v>22.0</v>
      </c>
      <c r="F191" s="36">
        <v>2537.0</v>
      </c>
      <c r="G191" s="1">
        <f t="shared" si="1"/>
        <v>7</v>
      </c>
    </row>
    <row r="192">
      <c r="A192" s="35">
        <v>45848.0</v>
      </c>
      <c r="B192" s="4">
        <v>66173.0</v>
      </c>
      <c r="C192" s="4">
        <v>2013.0</v>
      </c>
      <c r="D192" s="36">
        <v>1615.0</v>
      </c>
      <c r="E192" s="4">
        <v>27.0</v>
      </c>
      <c r="F192" s="36">
        <v>3401.0</v>
      </c>
      <c r="G192" s="1">
        <f t="shared" si="1"/>
        <v>7</v>
      </c>
    </row>
    <row r="193">
      <c r="A193" s="35">
        <v>45849.0</v>
      </c>
      <c r="B193" s="4">
        <v>118239.0</v>
      </c>
      <c r="C193" s="4">
        <v>1749.0</v>
      </c>
      <c r="D193" s="36">
        <v>1258.0</v>
      </c>
      <c r="E193" s="4">
        <v>26.0</v>
      </c>
      <c r="F193" s="36">
        <v>4492.0</v>
      </c>
      <c r="G193" s="1">
        <f t="shared" si="1"/>
        <v>7</v>
      </c>
    </row>
    <row r="194">
      <c r="A194" s="35">
        <v>45850.0</v>
      </c>
      <c r="B194" s="4">
        <v>139914.0</v>
      </c>
      <c r="C194" s="4">
        <v>4706.0</v>
      </c>
      <c r="D194" s="36">
        <v>3189.0</v>
      </c>
      <c r="E194" s="4">
        <v>94.0</v>
      </c>
      <c r="F194" s="36">
        <v>15597.0</v>
      </c>
      <c r="G194" s="1">
        <f t="shared" si="1"/>
        <v>7</v>
      </c>
    </row>
    <row r="195">
      <c r="A195" s="35">
        <v>45851.0</v>
      </c>
      <c r="B195" s="4">
        <v>62911.0</v>
      </c>
      <c r="C195" s="4">
        <v>1666.0</v>
      </c>
      <c r="D195" s="36">
        <v>1635.0</v>
      </c>
      <c r="E195" s="4">
        <v>31.0</v>
      </c>
      <c r="F195" s="36">
        <v>7171.0</v>
      </c>
      <c r="G195" s="1">
        <f t="shared" si="1"/>
        <v>7</v>
      </c>
    </row>
    <row r="196">
      <c r="A196" s="35">
        <v>45852.0</v>
      </c>
      <c r="B196" s="4">
        <v>84932.0</v>
      </c>
      <c r="C196" s="4">
        <v>1185.0</v>
      </c>
      <c r="D196" s="36">
        <v>975.0</v>
      </c>
      <c r="E196" s="4">
        <v>22.0</v>
      </c>
      <c r="F196" s="36">
        <v>3680.0</v>
      </c>
      <c r="G196" s="1">
        <f t="shared" si="1"/>
        <v>7</v>
      </c>
    </row>
    <row r="197">
      <c r="A197" s="35">
        <v>45853.0</v>
      </c>
      <c r="B197" s="4">
        <v>93609.0</v>
      </c>
      <c r="C197" s="4">
        <v>1602.0</v>
      </c>
      <c r="D197" s="36">
        <v>1872.0</v>
      </c>
      <c r="E197" s="4">
        <v>35.0</v>
      </c>
      <c r="F197" s="36">
        <v>5424.0</v>
      </c>
      <c r="G197" s="1">
        <f t="shared" si="1"/>
        <v>7</v>
      </c>
    </row>
    <row r="198">
      <c r="A198" s="35">
        <v>45854.0</v>
      </c>
      <c r="B198" s="4">
        <v>124150.0</v>
      </c>
      <c r="C198" s="4">
        <v>3419.0</v>
      </c>
      <c r="D198" s="36">
        <v>2803.0</v>
      </c>
      <c r="E198" s="4">
        <v>76.0</v>
      </c>
      <c r="F198" s="36">
        <v>11638.0</v>
      </c>
      <c r="G198" s="1">
        <f t="shared" si="1"/>
        <v>7</v>
      </c>
    </row>
    <row r="199">
      <c r="A199" s="35">
        <v>45855.0</v>
      </c>
      <c r="B199" s="4">
        <v>74860.0</v>
      </c>
      <c r="C199" s="4">
        <v>1800.0</v>
      </c>
      <c r="D199" s="36">
        <v>1707.0</v>
      </c>
      <c r="E199" s="4">
        <v>30.0</v>
      </c>
      <c r="F199" s="36">
        <v>5678.0</v>
      </c>
      <c r="G199" s="1">
        <f t="shared" si="1"/>
        <v>7</v>
      </c>
    </row>
    <row r="200">
      <c r="A200" s="35">
        <v>45856.0</v>
      </c>
      <c r="B200" s="4">
        <v>96309.0</v>
      </c>
      <c r="C200" s="4">
        <v>2515.0</v>
      </c>
      <c r="D200" s="36">
        <v>2606.0</v>
      </c>
      <c r="E200" s="4">
        <v>30.0</v>
      </c>
      <c r="F200" s="36">
        <v>3485.0</v>
      </c>
      <c r="G200" s="1">
        <f t="shared" si="1"/>
        <v>7</v>
      </c>
    </row>
    <row r="201">
      <c r="A201" s="35">
        <v>45857.0</v>
      </c>
      <c r="B201" s="4">
        <v>48436.0</v>
      </c>
      <c r="C201" s="4">
        <v>780.0</v>
      </c>
      <c r="D201" s="36">
        <v>460.0</v>
      </c>
      <c r="E201" s="4">
        <v>15.0</v>
      </c>
      <c r="F201" s="36">
        <v>2100.0</v>
      </c>
      <c r="G201" s="1">
        <f t="shared" si="1"/>
        <v>7</v>
      </c>
    </row>
    <row r="202">
      <c r="A202" s="35">
        <v>45858.0</v>
      </c>
      <c r="B202" s="4">
        <v>53788.0</v>
      </c>
      <c r="C202" s="4">
        <v>1405.0</v>
      </c>
      <c r="D202" s="36">
        <v>1194.0</v>
      </c>
      <c r="E202" s="4">
        <v>21.0</v>
      </c>
      <c r="F202" s="36">
        <v>3537.0</v>
      </c>
      <c r="G202" s="1">
        <f t="shared" si="1"/>
        <v>7</v>
      </c>
    </row>
    <row r="203">
      <c r="A203" s="35">
        <v>45859.0</v>
      </c>
      <c r="B203" s="4">
        <v>44345.0</v>
      </c>
      <c r="C203" s="4">
        <v>439.0</v>
      </c>
      <c r="D203" s="36">
        <v>314.0</v>
      </c>
      <c r="E203" s="4">
        <v>9.0</v>
      </c>
      <c r="F203" s="36">
        <v>1294.0</v>
      </c>
      <c r="G203" s="1">
        <f t="shared" si="1"/>
        <v>7</v>
      </c>
    </row>
    <row r="204">
      <c r="A204" s="35">
        <v>45860.0</v>
      </c>
      <c r="B204" s="4">
        <v>42269.0</v>
      </c>
      <c r="C204" s="4">
        <v>592.0</v>
      </c>
      <c r="D204" s="36">
        <v>628.0</v>
      </c>
      <c r="E204" s="4">
        <v>7.0</v>
      </c>
      <c r="F204" s="36">
        <v>908.0</v>
      </c>
      <c r="G204" s="1">
        <f t="shared" si="1"/>
        <v>7</v>
      </c>
    </row>
    <row r="205">
      <c r="A205" s="35">
        <v>45861.0</v>
      </c>
      <c r="B205" s="4">
        <v>36574.0</v>
      </c>
      <c r="C205" s="4">
        <v>612.0</v>
      </c>
      <c r="D205" s="36">
        <v>607.0</v>
      </c>
      <c r="E205" s="4">
        <v>10.0</v>
      </c>
      <c r="F205" s="36">
        <v>2569.0</v>
      </c>
      <c r="G205" s="1">
        <f t="shared" si="1"/>
        <v>7</v>
      </c>
    </row>
    <row r="206">
      <c r="A206" s="35">
        <v>45862.0</v>
      </c>
      <c r="B206" s="4">
        <v>126874.0</v>
      </c>
      <c r="C206" s="4">
        <v>2860.0</v>
      </c>
      <c r="D206" s="36">
        <v>1895.0</v>
      </c>
      <c r="E206" s="4">
        <v>49.0</v>
      </c>
      <c r="F206" s="36">
        <v>6114.0</v>
      </c>
      <c r="G206" s="1">
        <f t="shared" si="1"/>
        <v>7</v>
      </c>
    </row>
    <row r="207">
      <c r="A207" s="35">
        <v>45863.0</v>
      </c>
      <c r="B207" s="4">
        <v>56370.0</v>
      </c>
      <c r="C207" s="4">
        <v>625.0</v>
      </c>
      <c r="D207" s="36">
        <v>436.0</v>
      </c>
      <c r="E207" s="4">
        <v>11.0</v>
      </c>
      <c r="F207" s="36">
        <v>2595.0</v>
      </c>
      <c r="G207" s="1">
        <f t="shared" si="1"/>
        <v>7</v>
      </c>
    </row>
    <row r="208">
      <c r="A208" s="35">
        <v>45864.0</v>
      </c>
      <c r="B208" s="4">
        <v>35524.0</v>
      </c>
      <c r="C208" s="4">
        <v>543.0</v>
      </c>
      <c r="D208" s="36">
        <v>466.0</v>
      </c>
      <c r="E208" s="4">
        <v>13.0</v>
      </c>
      <c r="F208" s="36">
        <v>1746.0</v>
      </c>
      <c r="G208" s="1">
        <f t="shared" si="1"/>
        <v>7</v>
      </c>
    </row>
    <row r="209">
      <c r="A209" s="35">
        <v>45865.0</v>
      </c>
      <c r="B209" s="4">
        <v>85624.0</v>
      </c>
      <c r="C209" s="4">
        <v>2615.0</v>
      </c>
      <c r="D209" s="36">
        <v>2503.0</v>
      </c>
      <c r="E209" s="4">
        <v>28.0</v>
      </c>
      <c r="F209" s="36">
        <v>4628.0</v>
      </c>
      <c r="G209" s="1">
        <f t="shared" si="1"/>
        <v>7</v>
      </c>
    </row>
    <row r="210">
      <c r="A210" s="35">
        <v>45866.0</v>
      </c>
      <c r="B210" s="4">
        <v>114146.0</v>
      </c>
      <c r="C210" s="4">
        <v>1953.0</v>
      </c>
      <c r="D210" s="36">
        <v>1745.0</v>
      </c>
      <c r="E210" s="4">
        <v>35.0</v>
      </c>
      <c r="F210" s="36">
        <v>3609.0</v>
      </c>
      <c r="G210" s="1">
        <f t="shared" si="1"/>
        <v>7</v>
      </c>
    </row>
    <row r="211">
      <c r="A211" s="35">
        <v>45867.0</v>
      </c>
      <c r="B211" s="4">
        <v>60645.0</v>
      </c>
      <c r="C211" s="4">
        <v>1643.0</v>
      </c>
      <c r="D211" s="36">
        <v>1032.0</v>
      </c>
      <c r="E211" s="4">
        <v>25.0</v>
      </c>
      <c r="F211" s="36">
        <v>4414.0</v>
      </c>
      <c r="G211" s="1">
        <f t="shared" si="1"/>
        <v>7</v>
      </c>
    </row>
    <row r="212">
      <c r="A212" s="35">
        <v>45868.0</v>
      </c>
      <c r="B212" s="4">
        <v>72672.0</v>
      </c>
      <c r="C212" s="4">
        <v>1264.0</v>
      </c>
      <c r="D212" s="36">
        <v>843.0</v>
      </c>
      <c r="E212" s="4">
        <v>20.0</v>
      </c>
      <c r="F212" s="36">
        <v>3847.0</v>
      </c>
      <c r="G212" s="1">
        <f t="shared" si="1"/>
        <v>7</v>
      </c>
    </row>
    <row r="213">
      <c r="A213" s="35">
        <v>45869.0</v>
      </c>
      <c r="B213" s="4">
        <v>56801.0</v>
      </c>
      <c r="C213" s="4">
        <v>1344.0</v>
      </c>
      <c r="D213" s="36">
        <v>1488.0</v>
      </c>
      <c r="E213" s="4">
        <v>27.0</v>
      </c>
      <c r="F213" s="36">
        <v>4700.0</v>
      </c>
      <c r="G213" s="1">
        <f t="shared" si="1"/>
        <v>7</v>
      </c>
    </row>
    <row r="214">
      <c r="A214" s="35">
        <v>45870.0</v>
      </c>
      <c r="B214" s="4">
        <v>72010.0</v>
      </c>
      <c r="C214" s="4">
        <v>1347.0</v>
      </c>
      <c r="D214" s="36">
        <v>990.0</v>
      </c>
      <c r="E214" s="4">
        <v>19.0</v>
      </c>
      <c r="F214" s="36">
        <v>3600.0</v>
      </c>
      <c r="G214" s="1">
        <f t="shared" si="1"/>
        <v>8</v>
      </c>
    </row>
    <row r="215">
      <c r="A215" s="35">
        <v>45871.0</v>
      </c>
      <c r="B215" s="4">
        <v>86525.0</v>
      </c>
      <c r="C215" s="4">
        <v>1406.0</v>
      </c>
      <c r="D215" s="36">
        <v>843.0</v>
      </c>
      <c r="E215" s="4">
        <v>29.0</v>
      </c>
      <c r="F215" s="36">
        <v>3621.0</v>
      </c>
      <c r="G215" s="1">
        <f t="shared" si="1"/>
        <v>8</v>
      </c>
    </row>
    <row r="216">
      <c r="A216" s="35">
        <v>45872.0</v>
      </c>
      <c r="B216" s="4">
        <v>107947.0</v>
      </c>
      <c r="C216" s="4">
        <v>3227.0</v>
      </c>
      <c r="D216" s="36">
        <v>2650.0</v>
      </c>
      <c r="E216" s="4">
        <v>71.0</v>
      </c>
      <c r="F216" s="36">
        <v>9944.0</v>
      </c>
      <c r="G216" s="1">
        <f t="shared" si="1"/>
        <v>8</v>
      </c>
    </row>
    <row r="217">
      <c r="A217" s="35">
        <v>45873.0</v>
      </c>
      <c r="B217" s="4">
        <v>59452.0</v>
      </c>
      <c r="C217" s="4">
        <v>1316.0</v>
      </c>
      <c r="D217" s="36">
        <v>1191.0</v>
      </c>
      <c r="E217" s="4">
        <v>20.0</v>
      </c>
      <c r="F217" s="36">
        <v>3230.0</v>
      </c>
      <c r="G217" s="1">
        <f t="shared" si="1"/>
        <v>8</v>
      </c>
    </row>
    <row r="218">
      <c r="A218" s="35">
        <v>45874.0</v>
      </c>
      <c r="B218" s="4">
        <v>68815.0</v>
      </c>
      <c r="C218" s="4">
        <v>1319.0</v>
      </c>
      <c r="D218" s="36">
        <v>1205.0</v>
      </c>
      <c r="E218" s="4">
        <v>24.0</v>
      </c>
      <c r="F218" s="36">
        <v>3088.0</v>
      </c>
      <c r="G218" s="1">
        <f t="shared" si="1"/>
        <v>8</v>
      </c>
    </row>
    <row r="219">
      <c r="A219" s="35">
        <v>45875.0</v>
      </c>
      <c r="B219" s="4">
        <v>68158.0</v>
      </c>
      <c r="C219" s="4">
        <v>930.0</v>
      </c>
      <c r="D219" s="36">
        <v>576.0</v>
      </c>
      <c r="E219" s="4">
        <v>22.0</v>
      </c>
      <c r="F219" s="36">
        <v>2774.0</v>
      </c>
      <c r="G219" s="1">
        <f t="shared" si="1"/>
        <v>8</v>
      </c>
    </row>
    <row r="220">
      <c r="A220" s="35">
        <v>45876.0</v>
      </c>
      <c r="B220" s="4">
        <v>91525.0</v>
      </c>
      <c r="C220" s="4">
        <v>2754.0</v>
      </c>
      <c r="D220" s="36">
        <v>3285.0</v>
      </c>
      <c r="E220" s="4">
        <v>73.0</v>
      </c>
      <c r="F220" s="36">
        <v>11727.0</v>
      </c>
      <c r="G220" s="1">
        <f t="shared" si="1"/>
        <v>8</v>
      </c>
    </row>
    <row r="221">
      <c r="A221" s="35">
        <v>45877.0</v>
      </c>
      <c r="B221" s="4">
        <v>146038.0</v>
      </c>
      <c r="C221" s="4">
        <v>2784.0</v>
      </c>
      <c r="D221" s="36">
        <v>1756.0</v>
      </c>
      <c r="E221" s="4">
        <v>54.0</v>
      </c>
      <c r="F221" s="36">
        <v>6610.0</v>
      </c>
      <c r="G221" s="1">
        <f t="shared" si="1"/>
        <v>8</v>
      </c>
    </row>
    <row r="222">
      <c r="A222" s="35">
        <v>45878.0</v>
      </c>
      <c r="B222" s="4">
        <v>55344.0</v>
      </c>
      <c r="C222" s="4">
        <v>549.0</v>
      </c>
      <c r="D222" s="36">
        <v>378.0</v>
      </c>
      <c r="E222" s="4">
        <v>13.0</v>
      </c>
      <c r="F222" s="36">
        <v>1627.0</v>
      </c>
      <c r="G222" s="1">
        <f t="shared" si="1"/>
        <v>8</v>
      </c>
    </row>
    <row r="223">
      <c r="A223" s="35">
        <v>45879.0</v>
      </c>
      <c r="B223" s="4">
        <v>81320.0</v>
      </c>
      <c r="C223" s="4">
        <v>1666.0</v>
      </c>
      <c r="D223" s="36">
        <v>2066.0</v>
      </c>
      <c r="E223" s="4">
        <v>22.0</v>
      </c>
      <c r="F223" s="36">
        <v>3387.0</v>
      </c>
      <c r="G223" s="1">
        <f t="shared" si="1"/>
        <v>8</v>
      </c>
    </row>
    <row r="224">
      <c r="A224" s="35">
        <v>45880.0</v>
      </c>
      <c r="B224" s="4">
        <v>111175.0</v>
      </c>
      <c r="C224" s="4">
        <v>1872.0</v>
      </c>
      <c r="D224" s="36">
        <v>1598.0</v>
      </c>
      <c r="E224" s="4">
        <v>40.0</v>
      </c>
      <c r="F224" s="36">
        <v>4464.0</v>
      </c>
      <c r="G224" s="1">
        <f t="shared" si="1"/>
        <v>8</v>
      </c>
    </row>
    <row r="225">
      <c r="A225" s="35">
        <v>45881.0</v>
      </c>
      <c r="B225" s="4">
        <v>35994.0</v>
      </c>
      <c r="C225" s="4">
        <v>437.0</v>
      </c>
      <c r="D225" s="36">
        <v>518.0</v>
      </c>
      <c r="E225" s="4">
        <v>8.0</v>
      </c>
      <c r="F225" s="36">
        <v>1701.0</v>
      </c>
      <c r="G225" s="1">
        <f t="shared" si="1"/>
        <v>8</v>
      </c>
    </row>
    <row r="226">
      <c r="A226" s="35">
        <v>45882.0</v>
      </c>
      <c r="B226" s="4">
        <v>79584.0</v>
      </c>
      <c r="C226" s="4">
        <v>1166.0</v>
      </c>
      <c r="D226" s="36">
        <v>939.0</v>
      </c>
      <c r="E226" s="4">
        <v>13.0</v>
      </c>
      <c r="F226" s="36">
        <v>1572.0</v>
      </c>
      <c r="G226" s="1">
        <f t="shared" si="1"/>
        <v>8</v>
      </c>
    </row>
    <row r="227">
      <c r="A227" s="35">
        <v>45883.0</v>
      </c>
      <c r="B227" s="4">
        <v>134124.0</v>
      </c>
      <c r="C227" s="4">
        <v>3565.0</v>
      </c>
      <c r="D227" s="36">
        <v>2409.0</v>
      </c>
      <c r="E227" s="4">
        <v>62.0</v>
      </c>
      <c r="F227" s="36">
        <v>11986.0</v>
      </c>
      <c r="G227" s="1">
        <f t="shared" si="1"/>
        <v>8</v>
      </c>
    </row>
    <row r="228">
      <c r="A228" s="35">
        <v>45884.0</v>
      </c>
      <c r="B228" s="4">
        <v>106541.0</v>
      </c>
      <c r="C228" s="4">
        <v>3467.0</v>
      </c>
      <c r="D228" s="36">
        <v>3364.0</v>
      </c>
      <c r="E228" s="4">
        <v>43.0</v>
      </c>
      <c r="F228" s="36">
        <v>6003.0</v>
      </c>
      <c r="G228" s="1">
        <f t="shared" si="1"/>
        <v>8</v>
      </c>
    </row>
    <row r="229">
      <c r="A229" s="35">
        <v>45885.0</v>
      </c>
      <c r="B229" s="4">
        <v>55197.0</v>
      </c>
      <c r="C229" s="4">
        <v>1303.0</v>
      </c>
      <c r="D229" s="36">
        <v>720.0</v>
      </c>
      <c r="E229" s="4">
        <v>12.0</v>
      </c>
      <c r="F229" s="36">
        <v>2471.0</v>
      </c>
      <c r="G229" s="1">
        <f t="shared" si="1"/>
        <v>8</v>
      </c>
    </row>
    <row r="230">
      <c r="A230" s="35">
        <v>45886.0</v>
      </c>
      <c r="B230" s="4">
        <v>127402.0</v>
      </c>
      <c r="C230" s="4">
        <v>1857.0</v>
      </c>
      <c r="D230" s="36">
        <v>1873.0</v>
      </c>
      <c r="E230" s="4">
        <v>37.0</v>
      </c>
      <c r="F230" s="36">
        <v>5628.0</v>
      </c>
      <c r="G230" s="1">
        <f t="shared" si="1"/>
        <v>8</v>
      </c>
    </row>
    <row r="231">
      <c r="A231" s="35">
        <v>45887.0</v>
      </c>
      <c r="B231" s="4">
        <v>97472.0</v>
      </c>
      <c r="C231" s="4">
        <v>2158.0</v>
      </c>
      <c r="D231" s="36">
        <v>2018.0</v>
      </c>
      <c r="E231" s="4">
        <v>54.0</v>
      </c>
      <c r="F231" s="36">
        <v>8260.0</v>
      </c>
      <c r="G231" s="1">
        <f t="shared" si="1"/>
        <v>8</v>
      </c>
    </row>
    <row r="232">
      <c r="A232" s="35">
        <v>45888.0</v>
      </c>
      <c r="B232" s="4">
        <v>32607.0</v>
      </c>
      <c r="C232" s="4">
        <v>432.0</v>
      </c>
      <c r="D232" s="36">
        <v>359.0</v>
      </c>
      <c r="E232" s="4">
        <v>8.0</v>
      </c>
      <c r="F232" s="36">
        <v>1067.0</v>
      </c>
      <c r="G232" s="1">
        <f t="shared" si="1"/>
        <v>8</v>
      </c>
    </row>
    <row r="233">
      <c r="A233" s="35">
        <v>45889.0</v>
      </c>
      <c r="B233" s="4">
        <v>29963.0</v>
      </c>
      <c r="C233" s="4">
        <v>453.0</v>
      </c>
      <c r="D233" s="36">
        <v>441.0</v>
      </c>
      <c r="E233" s="4">
        <v>6.0</v>
      </c>
      <c r="F233" s="36">
        <v>911.0</v>
      </c>
      <c r="G233" s="1">
        <f t="shared" si="1"/>
        <v>8</v>
      </c>
    </row>
    <row r="234">
      <c r="A234" s="35">
        <v>45890.0</v>
      </c>
      <c r="B234" s="4">
        <v>27710.0</v>
      </c>
      <c r="C234" s="4">
        <v>284.0</v>
      </c>
      <c r="D234" s="36">
        <v>195.0</v>
      </c>
      <c r="E234" s="4">
        <v>3.0</v>
      </c>
      <c r="F234" s="36">
        <v>1143.0</v>
      </c>
      <c r="G234" s="1">
        <f t="shared" si="1"/>
        <v>8</v>
      </c>
    </row>
    <row r="235">
      <c r="A235" s="35">
        <v>45891.0</v>
      </c>
      <c r="B235" s="4">
        <v>76252.0</v>
      </c>
      <c r="C235" s="4">
        <v>2156.0</v>
      </c>
      <c r="D235" s="36">
        <v>2121.0</v>
      </c>
      <c r="E235" s="4">
        <v>25.0</v>
      </c>
      <c r="F235" s="36">
        <v>5304.0</v>
      </c>
      <c r="G235" s="1">
        <f t="shared" si="1"/>
        <v>8</v>
      </c>
    </row>
    <row r="236">
      <c r="A236" s="35">
        <v>45892.0</v>
      </c>
      <c r="B236" s="4">
        <v>125503.0</v>
      </c>
      <c r="C236" s="4">
        <v>3915.0</v>
      </c>
      <c r="D236" s="36">
        <v>2247.0</v>
      </c>
      <c r="E236" s="4">
        <v>53.0</v>
      </c>
      <c r="F236" s="36">
        <v>8839.0</v>
      </c>
      <c r="G236" s="1">
        <f t="shared" si="1"/>
        <v>8</v>
      </c>
    </row>
    <row r="237">
      <c r="A237" s="35">
        <v>45893.0</v>
      </c>
      <c r="B237" s="4">
        <v>47190.0</v>
      </c>
      <c r="C237" s="4">
        <v>1025.0</v>
      </c>
      <c r="D237" s="36">
        <v>751.0</v>
      </c>
      <c r="E237" s="4">
        <v>24.0</v>
      </c>
      <c r="F237" s="36">
        <v>3415.0</v>
      </c>
      <c r="G237" s="1">
        <f t="shared" si="1"/>
        <v>8</v>
      </c>
    </row>
    <row r="238">
      <c r="A238" s="35">
        <v>45894.0</v>
      </c>
      <c r="B238" s="4">
        <v>125100.0</v>
      </c>
      <c r="C238" s="4">
        <v>1989.0</v>
      </c>
      <c r="D238" s="36">
        <v>2401.0</v>
      </c>
      <c r="E238" s="4">
        <v>39.0</v>
      </c>
      <c r="F238" s="36">
        <v>7186.0</v>
      </c>
      <c r="G238" s="1">
        <f t="shared" si="1"/>
        <v>8</v>
      </c>
    </row>
    <row r="239">
      <c r="A239" s="35">
        <v>45895.0</v>
      </c>
      <c r="B239" s="4">
        <v>119812.0</v>
      </c>
      <c r="C239" s="4">
        <v>1838.0</v>
      </c>
      <c r="D239" s="36">
        <v>1998.0</v>
      </c>
      <c r="E239" s="4">
        <v>38.0</v>
      </c>
      <c r="F239" s="36">
        <v>6247.0</v>
      </c>
      <c r="G239" s="1">
        <f t="shared" si="1"/>
        <v>8</v>
      </c>
    </row>
    <row r="240">
      <c r="A240" s="35">
        <v>45896.0</v>
      </c>
      <c r="B240" s="4">
        <v>88306.0</v>
      </c>
      <c r="C240" s="4">
        <v>2385.0</v>
      </c>
      <c r="D240" s="36">
        <v>2099.0</v>
      </c>
      <c r="E240" s="4">
        <v>40.0</v>
      </c>
      <c r="F240" s="36">
        <v>4749.0</v>
      </c>
      <c r="G240" s="1">
        <f t="shared" si="1"/>
        <v>8</v>
      </c>
    </row>
    <row r="241">
      <c r="A241" s="35">
        <v>45897.0</v>
      </c>
      <c r="B241" s="4">
        <v>44544.0</v>
      </c>
      <c r="C241" s="4">
        <v>617.0</v>
      </c>
      <c r="D241" s="36">
        <v>610.0</v>
      </c>
      <c r="E241" s="4">
        <v>6.0</v>
      </c>
      <c r="F241" s="36">
        <v>1000.0</v>
      </c>
      <c r="G241" s="1">
        <f t="shared" si="1"/>
        <v>8</v>
      </c>
    </row>
    <row r="242">
      <c r="A242" s="35">
        <v>45898.0</v>
      </c>
      <c r="B242" s="4">
        <v>74391.0</v>
      </c>
      <c r="C242" s="4">
        <v>1039.0</v>
      </c>
      <c r="D242" s="36">
        <v>757.0</v>
      </c>
      <c r="E242" s="4">
        <v>21.0</v>
      </c>
      <c r="F242" s="36">
        <v>3654.0</v>
      </c>
      <c r="G242" s="1">
        <f t="shared" si="1"/>
        <v>8</v>
      </c>
    </row>
    <row r="243">
      <c r="A243" s="35">
        <v>45899.0</v>
      </c>
      <c r="B243" s="4">
        <v>32545.0</v>
      </c>
      <c r="C243" s="4">
        <v>472.0</v>
      </c>
      <c r="D243" s="36">
        <v>518.0</v>
      </c>
      <c r="E243" s="4">
        <v>7.0</v>
      </c>
      <c r="F243" s="36">
        <v>984.0</v>
      </c>
      <c r="G243" s="1">
        <f t="shared" si="1"/>
        <v>8</v>
      </c>
    </row>
    <row r="244">
      <c r="A244" s="35">
        <v>45900.0</v>
      </c>
      <c r="B244" s="4">
        <v>106510.0</v>
      </c>
      <c r="C244" s="4">
        <v>2180.0</v>
      </c>
      <c r="D244" s="36">
        <v>1230.0</v>
      </c>
      <c r="E244" s="4">
        <v>30.0</v>
      </c>
      <c r="F244" s="36">
        <v>4652.0</v>
      </c>
      <c r="G244" s="1">
        <f t="shared" si="1"/>
        <v>8</v>
      </c>
    </row>
    <row r="245">
      <c r="A245" s="35">
        <v>45901.0</v>
      </c>
      <c r="B245" s="4">
        <v>94494.0</v>
      </c>
      <c r="C245" s="4">
        <v>1522.0</v>
      </c>
      <c r="D245" s="36">
        <v>2116.0</v>
      </c>
      <c r="E245" s="4">
        <v>35.0</v>
      </c>
      <c r="F245" s="36">
        <v>3754.0</v>
      </c>
      <c r="G245" s="1">
        <f t="shared" si="1"/>
        <v>9</v>
      </c>
    </row>
    <row r="246">
      <c r="A246" s="35">
        <v>45902.0</v>
      </c>
      <c r="B246" s="4">
        <v>70589.0</v>
      </c>
      <c r="C246" s="4">
        <v>1611.0</v>
      </c>
      <c r="D246" s="36">
        <v>1136.0</v>
      </c>
      <c r="E246" s="4">
        <v>33.0</v>
      </c>
      <c r="F246" s="36">
        <v>3128.0</v>
      </c>
      <c r="G246" s="1">
        <f t="shared" si="1"/>
        <v>9</v>
      </c>
    </row>
    <row r="247">
      <c r="A247" s="35">
        <v>45903.0</v>
      </c>
      <c r="B247" s="4">
        <v>29665.0</v>
      </c>
      <c r="C247" s="4">
        <v>700.0</v>
      </c>
      <c r="D247" s="36">
        <v>604.0</v>
      </c>
      <c r="E247" s="4">
        <v>8.0</v>
      </c>
      <c r="F247" s="36">
        <v>1551.0</v>
      </c>
      <c r="G247" s="1">
        <f t="shared" si="1"/>
        <v>9</v>
      </c>
    </row>
    <row r="248">
      <c r="A248" s="35">
        <v>45904.0</v>
      </c>
      <c r="B248" s="4">
        <v>99274.0</v>
      </c>
      <c r="C248" s="4">
        <v>3436.0</v>
      </c>
      <c r="D248" s="36">
        <v>2446.0</v>
      </c>
      <c r="E248" s="4">
        <v>60.0</v>
      </c>
      <c r="F248" s="36">
        <v>10108.0</v>
      </c>
      <c r="G248" s="1">
        <f t="shared" si="1"/>
        <v>9</v>
      </c>
    </row>
    <row r="249">
      <c r="A249" s="35">
        <v>45905.0</v>
      </c>
      <c r="B249" s="4">
        <v>101197.0</v>
      </c>
      <c r="C249" s="4">
        <v>2414.0</v>
      </c>
      <c r="D249" s="36">
        <v>2677.0</v>
      </c>
      <c r="E249" s="4">
        <v>41.0</v>
      </c>
      <c r="F249" s="36">
        <v>8241.0</v>
      </c>
      <c r="G249" s="1">
        <f t="shared" si="1"/>
        <v>9</v>
      </c>
    </row>
    <row r="250">
      <c r="A250" s="35">
        <v>45906.0</v>
      </c>
      <c r="B250" s="4">
        <v>47386.0</v>
      </c>
      <c r="C250" s="4">
        <v>1122.0</v>
      </c>
      <c r="D250" s="36">
        <v>1286.0</v>
      </c>
      <c r="E250" s="4">
        <v>13.0</v>
      </c>
      <c r="F250" s="36">
        <v>2790.0</v>
      </c>
      <c r="G250" s="1">
        <f t="shared" si="1"/>
        <v>9</v>
      </c>
    </row>
    <row r="251">
      <c r="A251" s="35">
        <v>45907.0</v>
      </c>
      <c r="B251" s="4">
        <v>28728.0</v>
      </c>
      <c r="C251" s="4">
        <v>257.0</v>
      </c>
      <c r="D251" s="36">
        <v>303.0</v>
      </c>
      <c r="E251" s="4">
        <v>2.0</v>
      </c>
      <c r="F251" s="36">
        <v>455.0</v>
      </c>
      <c r="G251" s="1">
        <f t="shared" si="1"/>
        <v>9</v>
      </c>
    </row>
    <row r="252">
      <c r="A252" s="35">
        <v>45908.0</v>
      </c>
      <c r="B252" s="4">
        <v>54726.0</v>
      </c>
      <c r="C252" s="4">
        <v>777.0</v>
      </c>
      <c r="D252" s="36">
        <v>820.0</v>
      </c>
      <c r="E252" s="4">
        <v>20.0</v>
      </c>
      <c r="F252" s="36">
        <v>3113.0</v>
      </c>
      <c r="G252" s="1">
        <f t="shared" si="1"/>
        <v>9</v>
      </c>
    </row>
    <row r="253">
      <c r="A253" s="35">
        <v>45909.0</v>
      </c>
      <c r="B253" s="4">
        <v>25895.0</v>
      </c>
      <c r="C253" s="4">
        <v>517.0</v>
      </c>
      <c r="D253" s="36">
        <v>353.0</v>
      </c>
      <c r="E253" s="4">
        <v>6.0</v>
      </c>
      <c r="F253" s="36">
        <v>1067.0</v>
      </c>
      <c r="G253" s="1">
        <f t="shared" si="1"/>
        <v>9</v>
      </c>
    </row>
    <row r="254">
      <c r="A254" s="35">
        <v>45910.0</v>
      </c>
      <c r="B254" s="4">
        <v>75927.0</v>
      </c>
      <c r="C254" s="4">
        <v>1465.0</v>
      </c>
      <c r="D254" s="36">
        <v>1883.0</v>
      </c>
      <c r="E254" s="4">
        <v>25.0</v>
      </c>
      <c r="F254" s="36">
        <v>3475.0</v>
      </c>
      <c r="G254" s="1">
        <f t="shared" si="1"/>
        <v>9</v>
      </c>
    </row>
    <row r="255">
      <c r="A255" s="35">
        <v>45911.0</v>
      </c>
      <c r="B255" s="4">
        <v>78245.0</v>
      </c>
      <c r="C255" s="4">
        <v>764.0</v>
      </c>
      <c r="D255" s="36">
        <v>800.0</v>
      </c>
      <c r="E255" s="4">
        <v>19.0</v>
      </c>
      <c r="F255" s="36">
        <v>3453.0</v>
      </c>
      <c r="G255" s="1">
        <f t="shared" si="1"/>
        <v>9</v>
      </c>
    </row>
    <row r="256">
      <c r="A256" s="35">
        <v>45912.0</v>
      </c>
      <c r="B256" s="4">
        <v>59778.0</v>
      </c>
      <c r="C256" s="4">
        <v>923.0</v>
      </c>
      <c r="D256" s="36">
        <v>833.0</v>
      </c>
      <c r="E256" s="4">
        <v>16.0</v>
      </c>
      <c r="F256" s="36">
        <v>2848.0</v>
      </c>
      <c r="G256" s="1">
        <f t="shared" si="1"/>
        <v>9</v>
      </c>
    </row>
    <row r="257">
      <c r="A257" s="35">
        <v>45913.0</v>
      </c>
      <c r="B257" s="4">
        <v>105615.0</v>
      </c>
      <c r="C257" s="4">
        <v>1765.0</v>
      </c>
      <c r="D257" s="36">
        <v>1363.0</v>
      </c>
      <c r="E257" s="4">
        <v>47.0</v>
      </c>
      <c r="F257" s="36">
        <v>6743.0</v>
      </c>
      <c r="G257" s="1">
        <f t="shared" si="1"/>
        <v>9</v>
      </c>
    </row>
    <row r="258">
      <c r="A258" s="35">
        <v>45914.0</v>
      </c>
      <c r="B258" s="4">
        <v>98643.0</v>
      </c>
      <c r="C258" s="4">
        <v>2265.0</v>
      </c>
      <c r="D258" s="36">
        <v>1679.0</v>
      </c>
      <c r="E258" s="4">
        <v>50.0</v>
      </c>
      <c r="F258" s="36">
        <v>8539.0</v>
      </c>
      <c r="G258" s="1">
        <f t="shared" si="1"/>
        <v>9</v>
      </c>
    </row>
    <row r="259">
      <c r="A259" s="35">
        <v>45915.0</v>
      </c>
      <c r="B259" s="4">
        <v>63590.0</v>
      </c>
      <c r="C259" s="4">
        <v>732.0</v>
      </c>
      <c r="D259" s="36">
        <v>730.0</v>
      </c>
      <c r="E259" s="4">
        <v>9.0</v>
      </c>
      <c r="F259" s="36">
        <v>1334.0</v>
      </c>
      <c r="G259" s="1">
        <f t="shared" si="1"/>
        <v>9</v>
      </c>
    </row>
    <row r="260">
      <c r="A260" s="35">
        <v>45916.0</v>
      </c>
      <c r="B260" s="4">
        <v>68572.0</v>
      </c>
      <c r="C260" s="4">
        <v>1670.0</v>
      </c>
      <c r="D260" s="36">
        <v>1896.0</v>
      </c>
      <c r="E260" s="4">
        <v>23.0</v>
      </c>
      <c r="F260" s="36">
        <v>4124.0</v>
      </c>
      <c r="G260" s="1">
        <f t="shared" si="1"/>
        <v>9</v>
      </c>
    </row>
    <row r="261">
      <c r="A261" s="35">
        <v>45917.0</v>
      </c>
      <c r="B261" s="4">
        <v>46975.0</v>
      </c>
      <c r="C261" s="4">
        <v>711.0</v>
      </c>
      <c r="D261" s="36">
        <v>744.0</v>
      </c>
      <c r="E261" s="4">
        <v>13.0</v>
      </c>
      <c r="F261" s="36">
        <v>1710.0</v>
      </c>
      <c r="G261" s="1">
        <f t="shared" si="1"/>
        <v>9</v>
      </c>
    </row>
    <row r="262">
      <c r="A262" s="35">
        <v>45918.0</v>
      </c>
      <c r="B262" s="4">
        <v>23787.0</v>
      </c>
      <c r="C262" s="4">
        <v>225.0</v>
      </c>
      <c r="D262" s="36">
        <v>261.0</v>
      </c>
      <c r="E262" s="4">
        <v>3.0</v>
      </c>
      <c r="F262" s="36">
        <v>665.0</v>
      </c>
      <c r="G262" s="1">
        <f t="shared" si="1"/>
        <v>9</v>
      </c>
    </row>
    <row r="263">
      <c r="A263" s="35">
        <v>45919.0</v>
      </c>
      <c r="B263" s="4">
        <v>24284.0</v>
      </c>
      <c r="C263" s="4">
        <v>168.0</v>
      </c>
      <c r="D263" s="36">
        <v>222.0</v>
      </c>
      <c r="E263" s="4">
        <v>2.0</v>
      </c>
      <c r="F263" s="36">
        <v>333.0</v>
      </c>
      <c r="G263" s="1">
        <f t="shared" si="1"/>
        <v>9</v>
      </c>
    </row>
    <row r="264">
      <c r="A264" s="35">
        <v>45920.0</v>
      </c>
      <c r="B264" s="4">
        <v>20373.0</v>
      </c>
      <c r="C264" s="4">
        <v>171.0</v>
      </c>
      <c r="D264" s="36">
        <v>214.0</v>
      </c>
      <c r="E264" s="4">
        <v>3.0</v>
      </c>
      <c r="F264" s="36">
        <v>550.0</v>
      </c>
      <c r="G264" s="1">
        <f t="shared" si="1"/>
        <v>9</v>
      </c>
    </row>
    <row r="265">
      <c r="A265" s="35">
        <v>45921.0</v>
      </c>
      <c r="B265" s="4">
        <v>107000.0</v>
      </c>
      <c r="C265" s="4">
        <v>1702.0</v>
      </c>
      <c r="D265" s="36">
        <v>1597.0</v>
      </c>
      <c r="E265" s="4">
        <v>30.0</v>
      </c>
      <c r="F265" s="36">
        <v>4962.0</v>
      </c>
      <c r="G265" s="1">
        <f t="shared" si="1"/>
        <v>9</v>
      </c>
    </row>
    <row r="266">
      <c r="A266" s="35">
        <v>45922.0</v>
      </c>
      <c r="B266" s="4">
        <v>83233.0</v>
      </c>
      <c r="C266" s="4">
        <v>1901.0</v>
      </c>
      <c r="D266" s="36">
        <v>2625.0</v>
      </c>
      <c r="E266" s="4">
        <v>40.0</v>
      </c>
      <c r="F266" s="36">
        <v>8035.0</v>
      </c>
      <c r="G266" s="1">
        <f t="shared" si="1"/>
        <v>9</v>
      </c>
    </row>
    <row r="267">
      <c r="A267" s="35">
        <v>45923.0</v>
      </c>
      <c r="B267" s="4">
        <v>31103.0</v>
      </c>
      <c r="C267" s="4">
        <v>912.0</v>
      </c>
      <c r="D267" s="36">
        <v>793.0</v>
      </c>
      <c r="E267" s="4">
        <v>12.0</v>
      </c>
      <c r="F267" s="36">
        <v>2327.0</v>
      </c>
      <c r="G267" s="1">
        <f t="shared" si="1"/>
        <v>9</v>
      </c>
    </row>
    <row r="268">
      <c r="A268" s="35">
        <v>45924.0</v>
      </c>
      <c r="B268" s="4">
        <v>70541.0</v>
      </c>
      <c r="C268" s="4">
        <v>2052.0</v>
      </c>
      <c r="D268" s="36">
        <v>1695.0</v>
      </c>
      <c r="E268" s="4">
        <v>46.0</v>
      </c>
      <c r="F268" s="36">
        <v>5255.0</v>
      </c>
      <c r="G268" s="1">
        <f t="shared" si="1"/>
        <v>9</v>
      </c>
    </row>
    <row r="269">
      <c r="A269" s="35">
        <v>45925.0</v>
      </c>
      <c r="B269" s="4">
        <v>80992.0</v>
      </c>
      <c r="C269" s="4">
        <v>1169.0</v>
      </c>
      <c r="D269" s="36">
        <v>1411.0</v>
      </c>
      <c r="E269" s="4">
        <v>16.0</v>
      </c>
      <c r="F269" s="36">
        <v>1739.0</v>
      </c>
      <c r="G269" s="1">
        <f t="shared" si="1"/>
        <v>9</v>
      </c>
    </row>
    <row r="270">
      <c r="A270" s="35">
        <v>45926.0</v>
      </c>
      <c r="B270" s="4">
        <v>89844.0</v>
      </c>
      <c r="C270" s="4">
        <v>2011.0</v>
      </c>
      <c r="D270" s="36">
        <v>2096.0</v>
      </c>
      <c r="E270" s="4">
        <v>51.0</v>
      </c>
      <c r="F270" s="36">
        <v>9222.0</v>
      </c>
      <c r="G270" s="1">
        <f t="shared" si="1"/>
        <v>9</v>
      </c>
    </row>
    <row r="271">
      <c r="A271" s="35">
        <v>45927.0</v>
      </c>
      <c r="B271" s="4">
        <v>53168.0</v>
      </c>
      <c r="C271" s="4">
        <v>884.0</v>
      </c>
      <c r="D271" s="36">
        <v>722.0</v>
      </c>
      <c r="E271" s="4">
        <v>18.0</v>
      </c>
      <c r="F271" s="36">
        <v>3181.0</v>
      </c>
      <c r="G271" s="1">
        <f t="shared" si="1"/>
        <v>9</v>
      </c>
    </row>
    <row r="272">
      <c r="A272" s="35">
        <v>45928.0</v>
      </c>
      <c r="B272" s="4">
        <v>25790.0</v>
      </c>
      <c r="C272" s="4">
        <v>290.0</v>
      </c>
      <c r="D272" s="36">
        <v>229.0</v>
      </c>
      <c r="E272" s="4">
        <v>5.0</v>
      </c>
      <c r="F272" s="36">
        <v>796.0</v>
      </c>
      <c r="G272" s="1">
        <f t="shared" si="1"/>
        <v>9</v>
      </c>
    </row>
    <row r="273">
      <c r="A273" s="35">
        <v>45929.0</v>
      </c>
      <c r="B273" s="4">
        <v>36441.0</v>
      </c>
      <c r="C273" s="4">
        <v>980.0</v>
      </c>
      <c r="D273" s="36">
        <v>812.0</v>
      </c>
      <c r="E273" s="4">
        <v>13.0</v>
      </c>
      <c r="F273" s="36">
        <v>1560.0</v>
      </c>
      <c r="G273" s="1">
        <f t="shared" si="1"/>
        <v>9</v>
      </c>
    </row>
    <row r="274">
      <c r="A274" s="35">
        <v>45930.0</v>
      </c>
      <c r="B274" s="4">
        <v>50459.0</v>
      </c>
      <c r="C274" s="4">
        <v>1404.0</v>
      </c>
      <c r="D274" s="36">
        <v>1414.0</v>
      </c>
      <c r="E274" s="4">
        <v>23.0</v>
      </c>
      <c r="F274" s="36">
        <v>2532.0</v>
      </c>
      <c r="G274" s="1">
        <f t="shared" si="1"/>
        <v>9</v>
      </c>
    </row>
    <row r="275">
      <c r="A275" s="35">
        <v>45931.0</v>
      </c>
      <c r="B275" s="4">
        <v>67085.0</v>
      </c>
      <c r="C275" s="4">
        <v>1912.0</v>
      </c>
      <c r="D275" s="36">
        <v>2178.0</v>
      </c>
      <c r="E275" s="4">
        <v>38.0</v>
      </c>
      <c r="F275" s="36">
        <v>6681.0</v>
      </c>
      <c r="G275" s="1">
        <f t="shared" si="1"/>
        <v>10</v>
      </c>
    </row>
    <row r="276">
      <c r="A276" s="35">
        <v>45932.0</v>
      </c>
      <c r="B276" s="4">
        <v>84767.0</v>
      </c>
      <c r="C276" s="4">
        <v>2601.0</v>
      </c>
      <c r="D276" s="36">
        <v>2572.0</v>
      </c>
      <c r="E276" s="4">
        <v>60.0</v>
      </c>
      <c r="F276" s="36">
        <v>6182.0</v>
      </c>
      <c r="G276" s="1">
        <f t="shared" si="1"/>
        <v>10</v>
      </c>
    </row>
    <row r="277">
      <c r="A277" s="35">
        <v>45933.0</v>
      </c>
      <c r="B277" s="4">
        <v>92837.0</v>
      </c>
      <c r="C277" s="4">
        <v>2278.0</v>
      </c>
      <c r="D277" s="36">
        <v>1400.0</v>
      </c>
      <c r="E277" s="4">
        <v>44.0</v>
      </c>
      <c r="F277" s="36">
        <v>7762.0</v>
      </c>
      <c r="G277" s="1">
        <f t="shared" si="1"/>
        <v>10</v>
      </c>
    </row>
    <row r="278">
      <c r="A278" s="35">
        <v>45934.0</v>
      </c>
      <c r="B278" s="4">
        <v>91518.0</v>
      </c>
      <c r="C278" s="4">
        <v>2090.0</v>
      </c>
      <c r="D278" s="36">
        <v>1932.0</v>
      </c>
      <c r="E278" s="4">
        <v>44.0</v>
      </c>
      <c r="F278" s="36">
        <v>8930.0</v>
      </c>
      <c r="G278" s="1">
        <f t="shared" si="1"/>
        <v>10</v>
      </c>
    </row>
    <row r="279">
      <c r="A279" s="35">
        <v>45935.0</v>
      </c>
      <c r="B279" s="4">
        <v>60713.0</v>
      </c>
      <c r="C279" s="4">
        <v>1004.0</v>
      </c>
      <c r="D279" s="36">
        <v>948.0</v>
      </c>
      <c r="E279" s="4">
        <v>18.0</v>
      </c>
      <c r="F279" s="36">
        <v>2567.0</v>
      </c>
      <c r="G279" s="1">
        <f t="shared" si="1"/>
        <v>10</v>
      </c>
    </row>
    <row r="280">
      <c r="A280" s="35">
        <v>45936.0</v>
      </c>
      <c r="B280" s="4">
        <v>64768.0</v>
      </c>
      <c r="C280" s="4">
        <v>1698.0</v>
      </c>
      <c r="D280" s="36">
        <v>1963.0</v>
      </c>
      <c r="E280" s="4">
        <v>28.0</v>
      </c>
      <c r="F280" s="36">
        <v>5116.0</v>
      </c>
      <c r="G280" s="1">
        <f t="shared" si="1"/>
        <v>10</v>
      </c>
    </row>
    <row r="281">
      <c r="A281" s="35">
        <v>45937.0</v>
      </c>
      <c r="B281" s="4">
        <v>27997.0</v>
      </c>
      <c r="C281" s="4">
        <v>466.0</v>
      </c>
      <c r="D281" s="36">
        <v>375.0</v>
      </c>
      <c r="E281" s="4">
        <v>6.0</v>
      </c>
      <c r="F281" s="36">
        <v>1296.0</v>
      </c>
      <c r="G281" s="1">
        <f t="shared" si="1"/>
        <v>10</v>
      </c>
    </row>
    <row r="282">
      <c r="A282" s="35">
        <v>45938.0</v>
      </c>
      <c r="B282" s="4">
        <v>103912.0</v>
      </c>
      <c r="C282" s="4">
        <v>2549.0</v>
      </c>
      <c r="D282" s="36">
        <v>2582.0</v>
      </c>
      <c r="E282" s="4">
        <v>50.0</v>
      </c>
      <c r="F282" s="36">
        <v>6485.0</v>
      </c>
      <c r="G282" s="1">
        <f t="shared" si="1"/>
        <v>10</v>
      </c>
    </row>
    <row r="283">
      <c r="A283" s="35">
        <v>45939.0</v>
      </c>
      <c r="B283" s="4">
        <v>72249.0</v>
      </c>
      <c r="C283" s="4">
        <v>1466.0</v>
      </c>
      <c r="D283" s="36">
        <v>1286.0</v>
      </c>
      <c r="E283" s="4">
        <v>19.0</v>
      </c>
      <c r="F283" s="36">
        <v>3309.0</v>
      </c>
      <c r="G283" s="1">
        <f t="shared" si="1"/>
        <v>10</v>
      </c>
    </row>
    <row r="284">
      <c r="A284" s="35">
        <v>45940.0</v>
      </c>
      <c r="B284" s="4">
        <v>102424.0</v>
      </c>
      <c r="C284" s="4">
        <v>1770.0</v>
      </c>
      <c r="D284" s="36">
        <v>1333.0</v>
      </c>
      <c r="E284" s="4">
        <v>44.0</v>
      </c>
      <c r="F284" s="36">
        <v>5958.0</v>
      </c>
      <c r="G284" s="1">
        <f t="shared" si="1"/>
        <v>10</v>
      </c>
    </row>
    <row r="285">
      <c r="A285" s="35">
        <v>45941.0</v>
      </c>
      <c r="B285" s="4">
        <v>81040.0</v>
      </c>
      <c r="C285" s="4">
        <v>1374.0</v>
      </c>
      <c r="D285" s="36">
        <v>1105.0</v>
      </c>
      <c r="E285" s="4">
        <v>20.0</v>
      </c>
      <c r="F285" s="36">
        <v>3000.0</v>
      </c>
      <c r="G285" s="1">
        <f t="shared" si="1"/>
        <v>10</v>
      </c>
    </row>
    <row r="286">
      <c r="A286" s="35">
        <v>45942.0</v>
      </c>
      <c r="B286" s="4">
        <v>29842.0</v>
      </c>
      <c r="C286" s="4">
        <v>366.0</v>
      </c>
      <c r="D286" s="36">
        <v>206.0</v>
      </c>
      <c r="E286" s="4">
        <v>3.0</v>
      </c>
      <c r="F286" s="36">
        <v>622.0</v>
      </c>
      <c r="G286" s="1">
        <f t="shared" si="1"/>
        <v>10</v>
      </c>
    </row>
    <row r="287">
      <c r="A287" s="35">
        <v>45943.0</v>
      </c>
      <c r="B287" s="4">
        <v>95787.0</v>
      </c>
      <c r="C287" s="4">
        <v>2949.0</v>
      </c>
      <c r="D287" s="36">
        <v>2021.0</v>
      </c>
      <c r="E287" s="4">
        <v>58.0</v>
      </c>
      <c r="F287" s="36">
        <v>7138.0</v>
      </c>
      <c r="G287" s="1">
        <f t="shared" si="1"/>
        <v>10</v>
      </c>
    </row>
    <row r="288">
      <c r="A288" s="35">
        <v>45944.0</v>
      </c>
      <c r="B288" s="4">
        <v>42877.0</v>
      </c>
      <c r="C288" s="4">
        <v>1058.0</v>
      </c>
      <c r="D288" s="36">
        <v>1050.0</v>
      </c>
      <c r="E288" s="4">
        <v>19.0</v>
      </c>
      <c r="F288" s="36">
        <v>2899.0</v>
      </c>
      <c r="G288" s="1">
        <f t="shared" si="1"/>
        <v>10</v>
      </c>
    </row>
    <row r="289">
      <c r="A289" s="35">
        <v>45945.0</v>
      </c>
      <c r="B289" s="4">
        <v>61603.0</v>
      </c>
      <c r="C289" s="4">
        <v>1306.0</v>
      </c>
      <c r="D289" s="36">
        <v>1510.0</v>
      </c>
      <c r="E289" s="4">
        <v>29.0</v>
      </c>
      <c r="F289" s="36">
        <v>5140.0</v>
      </c>
      <c r="G289" s="1">
        <f t="shared" si="1"/>
        <v>10</v>
      </c>
    </row>
    <row r="290">
      <c r="A290" s="35">
        <v>45946.0</v>
      </c>
      <c r="B290" s="4">
        <v>67465.0</v>
      </c>
      <c r="C290" s="4">
        <v>1104.0</v>
      </c>
      <c r="D290" s="36">
        <v>825.0</v>
      </c>
      <c r="E290" s="4">
        <v>19.0</v>
      </c>
      <c r="F290" s="36">
        <v>3335.0</v>
      </c>
      <c r="G290" s="1">
        <f t="shared" si="1"/>
        <v>10</v>
      </c>
    </row>
    <row r="291">
      <c r="A291" s="35">
        <v>45947.0</v>
      </c>
      <c r="B291" s="4">
        <v>56121.0</v>
      </c>
      <c r="C291" s="4">
        <v>941.0</v>
      </c>
      <c r="D291" s="36">
        <v>1093.0</v>
      </c>
      <c r="E291" s="4">
        <v>12.0</v>
      </c>
      <c r="F291" s="36">
        <v>1462.0</v>
      </c>
      <c r="G291" s="1">
        <f t="shared" si="1"/>
        <v>10</v>
      </c>
    </row>
    <row r="292">
      <c r="A292" s="35">
        <v>45948.0</v>
      </c>
      <c r="B292" s="4">
        <v>33186.0</v>
      </c>
      <c r="C292" s="4">
        <v>386.0</v>
      </c>
      <c r="D292" s="36">
        <v>322.0</v>
      </c>
      <c r="E292" s="4">
        <v>8.0</v>
      </c>
      <c r="F292" s="36">
        <v>1201.0</v>
      </c>
      <c r="G292" s="1">
        <f t="shared" si="1"/>
        <v>10</v>
      </c>
    </row>
    <row r="293">
      <c r="A293" s="35">
        <v>45949.0</v>
      </c>
      <c r="B293" s="4">
        <v>29150.0</v>
      </c>
      <c r="C293" s="4">
        <v>298.0</v>
      </c>
      <c r="D293" s="36">
        <v>301.0</v>
      </c>
      <c r="E293" s="4">
        <v>3.0</v>
      </c>
      <c r="F293" s="36">
        <v>776.0</v>
      </c>
      <c r="G293" s="1">
        <f t="shared" si="1"/>
        <v>10</v>
      </c>
    </row>
    <row r="294">
      <c r="A294" s="35">
        <v>45950.0</v>
      </c>
      <c r="B294" s="4">
        <v>98084.0</v>
      </c>
      <c r="C294" s="4">
        <v>2296.0</v>
      </c>
      <c r="D294" s="36">
        <v>1731.0</v>
      </c>
      <c r="E294" s="4">
        <v>47.0</v>
      </c>
      <c r="F294" s="36">
        <v>6160.0</v>
      </c>
      <c r="G294" s="1">
        <f t="shared" si="1"/>
        <v>10</v>
      </c>
    </row>
    <row r="295">
      <c r="A295" s="35">
        <v>45951.0</v>
      </c>
      <c r="B295" s="4">
        <v>104761.0</v>
      </c>
      <c r="C295" s="4">
        <v>2277.0</v>
      </c>
      <c r="D295" s="36">
        <v>2164.0</v>
      </c>
      <c r="E295" s="4">
        <v>48.0</v>
      </c>
      <c r="F295" s="36">
        <v>4421.0</v>
      </c>
      <c r="G295" s="1">
        <f t="shared" si="1"/>
        <v>10</v>
      </c>
    </row>
    <row r="296">
      <c r="A296" s="35">
        <v>45952.0</v>
      </c>
      <c r="B296" s="4">
        <v>65544.0</v>
      </c>
      <c r="C296" s="4">
        <v>1138.0</v>
      </c>
      <c r="D296" s="36">
        <v>917.0</v>
      </c>
      <c r="E296" s="4">
        <v>17.0</v>
      </c>
      <c r="F296" s="36">
        <v>2100.0</v>
      </c>
      <c r="G296" s="1">
        <f t="shared" si="1"/>
        <v>10</v>
      </c>
    </row>
    <row r="297">
      <c r="A297" s="35">
        <v>45953.0</v>
      </c>
      <c r="B297" s="4">
        <v>70268.0</v>
      </c>
      <c r="C297" s="4">
        <v>986.0</v>
      </c>
      <c r="D297" s="36">
        <v>766.0</v>
      </c>
      <c r="E297" s="4">
        <v>22.0</v>
      </c>
      <c r="F297" s="36">
        <v>4345.0</v>
      </c>
      <c r="G297" s="1">
        <f t="shared" si="1"/>
        <v>10</v>
      </c>
    </row>
    <row r="298">
      <c r="A298" s="35">
        <v>45954.0</v>
      </c>
      <c r="B298" s="4">
        <v>27111.0</v>
      </c>
      <c r="C298" s="4">
        <v>687.0</v>
      </c>
      <c r="D298" s="36">
        <v>455.0</v>
      </c>
      <c r="E298" s="4">
        <v>12.0</v>
      </c>
      <c r="F298" s="36">
        <v>1810.0</v>
      </c>
      <c r="G298" s="1">
        <f t="shared" si="1"/>
        <v>10</v>
      </c>
    </row>
    <row r="299">
      <c r="A299" s="35">
        <v>45955.0</v>
      </c>
      <c r="B299" s="4">
        <v>95429.0</v>
      </c>
      <c r="C299" s="4">
        <v>1563.0</v>
      </c>
      <c r="D299" s="36">
        <v>1379.0</v>
      </c>
      <c r="E299" s="4">
        <v>33.0</v>
      </c>
      <c r="F299" s="36">
        <v>3789.0</v>
      </c>
      <c r="G299" s="1">
        <f t="shared" si="1"/>
        <v>10</v>
      </c>
    </row>
    <row r="300">
      <c r="A300" s="35">
        <v>45956.0</v>
      </c>
      <c r="B300" s="4">
        <v>28585.0</v>
      </c>
      <c r="C300" s="4">
        <v>557.0</v>
      </c>
      <c r="D300" s="36">
        <v>352.0</v>
      </c>
      <c r="E300" s="4">
        <v>9.0</v>
      </c>
      <c r="F300" s="36">
        <v>1706.0</v>
      </c>
      <c r="G300" s="1">
        <f t="shared" si="1"/>
        <v>10</v>
      </c>
    </row>
    <row r="301">
      <c r="A301" s="35">
        <v>45957.0</v>
      </c>
      <c r="B301" s="4">
        <v>58874.0</v>
      </c>
      <c r="C301" s="4">
        <v>1101.0</v>
      </c>
      <c r="D301" s="36">
        <v>776.0</v>
      </c>
      <c r="E301" s="4">
        <v>19.0</v>
      </c>
      <c r="F301" s="36">
        <v>3495.0</v>
      </c>
      <c r="G301" s="1">
        <f t="shared" si="1"/>
        <v>10</v>
      </c>
    </row>
    <row r="302">
      <c r="A302" s="35">
        <v>45958.0</v>
      </c>
      <c r="B302" s="4">
        <v>61164.0</v>
      </c>
      <c r="C302" s="4">
        <v>1116.0</v>
      </c>
      <c r="D302" s="36">
        <v>1041.0</v>
      </c>
      <c r="E302" s="4">
        <v>26.0</v>
      </c>
      <c r="F302" s="36">
        <v>4075.0</v>
      </c>
      <c r="G302" s="1">
        <f t="shared" si="1"/>
        <v>10</v>
      </c>
    </row>
    <row r="303">
      <c r="A303" s="35">
        <v>45959.0</v>
      </c>
      <c r="B303" s="4">
        <v>111859.0</v>
      </c>
      <c r="C303" s="4">
        <v>2516.0</v>
      </c>
      <c r="D303" s="36">
        <v>2524.0</v>
      </c>
      <c r="E303" s="4">
        <v>38.0</v>
      </c>
      <c r="F303" s="36">
        <v>5255.0</v>
      </c>
      <c r="G303" s="1">
        <f t="shared" si="1"/>
        <v>10</v>
      </c>
    </row>
    <row r="304">
      <c r="A304" s="35">
        <v>45960.0</v>
      </c>
      <c r="B304" s="4">
        <v>69058.0</v>
      </c>
      <c r="C304" s="4">
        <v>1486.0</v>
      </c>
      <c r="D304" s="36">
        <v>1130.0</v>
      </c>
      <c r="E304" s="4">
        <v>28.0</v>
      </c>
      <c r="F304" s="36">
        <v>5458.0</v>
      </c>
      <c r="G304" s="1">
        <f t="shared" si="1"/>
        <v>10</v>
      </c>
    </row>
    <row r="305">
      <c r="A305" s="35">
        <v>45961.0</v>
      </c>
      <c r="B305" s="4">
        <v>59125.0</v>
      </c>
      <c r="C305" s="4">
        <v>1690.0</v>
      </c>
      <c r="D305" s="36">
        <v>1453.0</v>
      </c>
      <c r="E305" s="4">
        <v>37.0</v>
      </c>
      <c r="F305" s="36">
        <v>5356.0</v>
      </c>
      <c r="G305" s="1">
        <f t="shared" si="1"/>
        <v>10</v>
      </c>
    </row>
    <row r="306">
      <c r="A306" s="35">
        <v>45962.0</v>
      </c>
      <c r="B306" s="4">
        <v>24384.0</v>
      </c>
      <c r="C306" s="4">
        <v>523.0</v>
      </c>
      <c r="D306" s="36">
        <v>565.0</v>
      </c>
      <c r="E306" s="4">
        <v>10.0</v>
      </c>
      <c r="F306" s="36">
        <v>1928.0</v>
      </c>
      <c r="G306" s="1">
        <f t="shared" si="1"/>
        <v>11</v>
      </c>
    </row>
    <row r="307">
      <c r="A307" s="35">
        <v>45963.0</v>
      </c>
      <c r="B307" s="4">
        <v>102253.0</v>
      </c>
      <c r="C307" s="4">
        <v>2360.0</v>
      </c>
      <c r="D307" s="36">
        <v>1748.0</v>
      </c>
      <c r="E307" s="4">
        <v>29.0</v>
      </c>
      <c r="F307" s="36">
        <v>6406.0</v>
      </c>
      <c r="G307" s="1">
        <f t="shared" si="1"/>
        <v>11</v>
      </c>
    </row>
    <row r="308">
      <c r="A308" s="35">
        <v>45964.0</v>
      </c>
      <c r="B308" s="4">
        <v>22978.0</v>
      </c>
      <c r="C308" s="4">
        <v>301.0</v>
      </c>
      <c r="D308" s="36">
        <v>303.0</v>
      </c>
      <c r="E308" s="4">
        <v>5.0</v>
      </c>
      <c r="F308" s="36">
        <v>1016.0</v>
      </c>
      <c r="G308" s="1">
        <f t="shared" si="1"/>
        <v>11</v>
      </c>
    </row>
    <row r="309">
      <c r="A309" s="35">
        <v>45965.0</v>
      </c>
      <c r="B309" s="4">
        <v>22356.0</v>
      </c>
      <c r="C309" s="4">
        <v>282.0</v>
      </c>
      <c r="D309" s="36">
        <v>352.0</v>
      </c>
      <c r="E309" s="4">
        <v>5.0</v>
      </c>
      <c r="F309" s="36">
        <v>727.0</v>
      </c>
      <c r="G309" s="1">
        <f t="shared" si="1"/>
        <v>11</v>
      </c>
    </row>
    <row r="310">
      <c r="A310" s="35">
        <v>45966.0</v>
      </c>
      <c r="B310" s="4">
        <v>30617.0</v>
      </c>
      <c r="C310" s="4">
        <v>578.0</v>
      </c>
      <c r="D310" s="36">
        <v>609.0</v>
      </c>
      <c r="E310" s="4">
        <v>12.0</v>
      </c>
      <c r="F310" s="36">
        <v>1928.0</v>
      </c>
      <c r="G310" s="1">
        <f t="shared" si="1"/>
        <v>11</v>
      </c>
    </row>
    <row r="311">
      <c r="A311" s="35">
        <v>45967.0</v>
      </c>
      <c r="B311" s="4">
        <v>105759.0</v>
      </c>
      <c r="C311" s="4">
        <v>3339.0</v>
      </c>
      <c r="D311" s="36">
        <v>2154.0</v>
      </c>
      <c r="E311" s="4">
        <v>77.0</v>
      </c>
      <c r="F311" s="36">
        <v>13277.0</v>
      </c>
      <c r="G311" s="1">
        <f t="shared" si="1"/>
        <v>11</v>
      </c>
    </row>
    <row r="312">
      <c r="A312" s="35">
        <v>45968.0</v>
      </c>
      <c r="B312" s="4">
        <v>47770.0</v>
      </c>
      <c r="C312" s="4">
        <v>832.0</v>
      </c>
      <c r="D312" s="36">
        <v>951.0</v>
      </c>
      <c r="E312" s="4">
        <v>16.0</v>
      </c>
      <c r="F312" s="36">
        <v>1892.0</v>
      </c>
      <c r="G312" s="1">
        <f t="shared" si="1"/>
        <v>11</v>
      </c>
    </row>
    <row r="313">
      <c r="A313" s="35">
        <v>45969.0</v>
      </c>
      <c r="B313" s="4">
        <v>102215.0</v>
      </c>
      <c r="C313" s="4">
        <v>2596.0</v>
      </c>
      <c r="D313" s="36">
        <v>2138.0</v>
      </c>
      <c r="E313" s="4">
        <v>67.0</v>
      </c>
      <c r="F313" s="36">
        <v>10821.0</v>
      </c>
      <c r="G313" s="1">
        <f t="shared" si="1"/>
        <v>11</v>
      </c>
    </row>
    <row r="314">
      <c r="A314" s="35">
        <v>45970.0</v>
      </c>
      <c r="B314" s="4">
        <v>79967.0</v>
      </c>
      <c r="C314" s="4">
        <v>1954.0</v>
      </c>
      <c r="D314" s="36">
        <v>2126.0</v>
      </c>
      <c r="E314" s="4">
        <v>49.0</v>
      </c>
      <c r="F314" s="36">
        <v>7434.0</v>
      </c>
      <c r="G314" s="1">
        <f t="shared" si="1"/>
        <v>11</v>
      </c>
    </row>
    <row r="315">
      <c r="A315" s="35">
        <v>45971.0</v>
      </c>
      <c r="B315" s="4">
        <v>30876.0</v>
      </c>
      <c r="C315" s="4">
        <v>582.0</v>
      </c>
      <c r="D315" s="36">
        <v>442.0</v>
      </c>
      <c r="E315" s="4">
        <v>12.0</v>
      </c>
      <c r="F315" s="36">
        <v>1772.0</v>
      </c>
      <c r="G315" s="1">
        <f t="shared" si="1"/>
        <v>11</v>
      </c>
    </row>
    <row r="316">
      <c r="A316" s="35">
        <v>45972.0</v>
      </c>
      <c r="B316" s="4">
        <v>49477.0</v>
      </c>
      <c r="C316" s="4">
        <v>541.0</v>
      </c>
      <c r="D316" s="36">
        <v>319.0</v>
      </c>
      <c r="E316" s="4">
        <v>13.0</v>
      </c>
      <c r="F316" s="36">
        <v>1516.0</v>
      </c>
      <c r="G316" s="1">
        <f t="shared" si="1"/>
        <v>11</v>
      </c>
    </row>
    <row r="317">
      <c r="A317" s="35">
        <v>45973.0</v>
      </c>
      <c r="B317" s="4">
        <v>64687.0</v>
      </c>
      <c r="C317" s="4">
        <v>881.0</v>
      </c>
      <c r="D317" s="36">
        <v>1077.0</v>
      </c>
      <c r="E317" s="4">
        <v>17.0</v>
      </c>
      <c r="F317" s="36">
        <v>3909.0</v>
      </c>
      <c r="G317" s="1">
        <f t="shared" si="1"/>
        <v>11</v>
      </c>
    </row>
    <row r="318">
      <c r="A318" s="35">
        <v>45974.0</v>
      </c>
      <c r="B318" s="4">
        <v>105163.0</v>
      </c>
      <c r="C318" s="4">
        <v>3106.0</v>
      </c>
      <c r="D318" s="36">
        <v>2246.0</v>
      </c>
      <c r="E318" s="4">
        <v>37.0</v>
      </c>
      <c r="F318" s="36">
        <v>4117.0</v>
      </c>
      <c r="G318" s="1">
        <f t="shared" si="1"/>
        <v>11</v>
      </c>
    </row>
    <row r="319">
      <c r="A319" s="35">
        <v>45975.0</v>
      </c>
      <c r="B319" s="4">
        <v>93878.0</v>
      </c>
      <c r="C319" s="4">
        <v>1738.0</v>
      </c>
      <c r="D319" s="36">
        <v>1830.0</v>
      </c>
      <c r="E319" s="4">
        <v>22.0</v>
      </c>
      <c r="F319" s="36">
        <v>3306.0</v>
      </c>
      <c r="G319" s="1">
        <f t="shared" si="1"/>
        <v>11</v>
      </c>
    </row>
    <row r="320">
      <c r="A320" s="35">
        <v>45976.0</v>
      </c>
      <c r="B320" s="4">
        <v>82506.0</v>
      </c>
      <c r="C320" s="4">
        <v>1380.0</v>
      </c>
      <c r="D320" s="36">
        <v>1089.0</v>
      </c>
      <c r="E320" s="4">
        <v>21.0</v>
      </c>
      <c r="F320" s="36">
        <v>2566.0</v>
      </c>
      <c r="G320" s="1">
        <f t="shared" si="1"/>
        <v>11</v>
      </c>
    </row>
    <row r="321">
      <c r="A321" s="35">
        <v>45977.0</v>
      </c>
      <c r="B321" s="4">
        <v>60772.0</v>
      </c>
      <c r="C321" s="4">
        <v>774.0</v>
      </c>
      <c r="D321" s="36">
        <v>625.0</v>
      </c>
      <c r="E321" s="4">
        <v>14.0</v>
      </c>
      <c r="F321" s="36">
        <v>2168.0</v>
      </c>
      <c r="G321" s="1">
        <f t="shared" si="1"/>
        <v>11</v>
      </c>
    </row>
    <row r="322">
      <c r="A322" s="35">
        <v>45978.0</v>
      </c>
      <c r="B322" s="4">
        <v>75895.0</v>
      </c>
      <c r="C322" s="4">
        <v>2300.0</v>
      </c>
      <c r="D322" s="36">
        <v>2068.0</v>
      </c>
      <c r="E322" s="4">
        <v>60.0</v>
      </c>
      <c r="F322" s="36">
        <v>9409.0</v>
      </c>
      <c r="G322" s="1">
        <f t="shared" si="1"/>
        <v>11</v>
      </c>
    </row>
    <row r="323">
      <c r="A323" s="35">
        <v>45979.0</v>
      </c>
      <c r="B323" s="4">
        <v>85574.0</v>
      </c>
      <c r="C323" s="4">
        <v>1380.0</v>
      </c>
      <c r="D323" s="36">
        <v>1193.0</v>
      </c>
      <c r="E323" s="4">
        <v>28.0</v>
      </c>
      <c r="F323" s="36">
        <v>5019.0</v>
      </c>
      <c r="G323" s="1">
        <f t="shared" si="1"/>
        <v>11</v>
      </c>
    </row>
    <row r="324">
      <c r="A324" s="35">
        <v>45980.0</v>
      </c>
      <c r="B324" s="4">
        <v>71516.0</v>
      </c>
      <c r="C324" s="4">
        <v>810.0</v>
      </c>
      <c r="D324" s="36">
        <v>1104.0</v>
      </c>
      <c r="E324" s="4">
        <v>13.0</v>
      </c>
      <c r="F324" s="36">
        <v>1996.0</v>
      </c>
      <c r="G324" s="1">
        <f t="shared" si="1"/>
        <v>11</v>
      </c>
    </row>
    <row r="325">
      <c r="A325" s="35">
        <v>45981.0</v>
      </c>
      <c r="B325" s="4">
        <v>93071.0</v>
      </c>
      <c r="C325" s="4">
        <v>1752.0</v>
      </c>
      <c r="D325" s="36">
        <v>1370.0</v>
      </c>
      <c r="E325" s="4">
        <v>43.0</v>
      </c>
      <c r="F325" s="36">
        <v>7494.0</v>
      </c>
      <c r="G325" s="1">
        <f t="shared" si="1"/>
        <v>11</v>
      </c>
    </row>
    <row r="326">
      <c r="A326" s="35">
        <v>45982.0</v>
      </c>
      <c r="B326" s="4">
        <v>34577.0</v>
      </c>
      <c r="C326" s="4">
        <v>355.0</v>
      </c>
      <c r="D326" s="36">
        <v>353.0</v>
      </c>
      <c r="E326" s="4">
        <v>7.0</v>
      </c>
      <c r="F326" s="36">
        <v>1639.0</v>
      </c>
      <c r="G326" s="1">
        <f t="shared" si="1"/>
        <v>11</v>
      </c>
    </row>
    <row r="327">
      <c r="A327" s="35">
        <v>45983.0</v>
      </c>
      <c r="B327" s="4">
        <v>107430.0</v>
      </c>
      <c r="C327" s="4">
        <v>3134.0</v>
      </c>
      <c r="D327" s="36">
        <v>2650.0</v>
      </c>
      <c r="E327" s="4">
        <v>39.0</v>
      </c>
      <c r="F327" s="36">
        <v>5381.0</v>
      </c>
      <c r="G327" s="1">
        <f t="shared" si="1"/>
        <v>11</v>
      </c>
    </row>
    <row r="328">
      <c r="A328" s="35">
        <v>45984.0</v>
      </c>
      <c r="B328" s="4">
        <v>68697.0</v>
      </c>
      <c r="C328" s="4">
        <v>1033.0</v>
      </c>
      <c r="D328" s="36">
        <v>1007.0</v>
      </c>
      <c r="E328" s="4">
        <v>11.0</v>
      </c>
      <c r="F328" s="36">
        <v>2310.0</v>
      </c>
      <c r="G328" s="1">
        <f t="shared" si="1"/>
        <v>11</v>
      </c>
    </row>
    <row r="329">
      <c r="A329" s="35">
        <v>45985.0</v>
      </c>
      <c r="B329" s="4">
        <v>62015.0</v>
      </c>
      <c r="C329" s="4">
        <v>1020.0</v>
      </c>
      <c r="D329" s="36">
        <v>885.0</v>
      </c>
      <c r="E329" s="4">
        <v>12.0</v>
      </c>
      <c r="F329" s="36">
        <v>1911.0</v>
      </c>
      <c r="G329" s="1">
        <f t="shared" si="1"/>
        <v>11</v>
      </c>
    </row>
    <row r="330">
      <c r="A330" s="35">
        <v>45986.0</v>
      </c>
      <c r="B330" s="4">
        <v>26230.0</v>
      </c>
      <c r="C330" s="4">
        <v>296.0</v>
      </c>
      <c r="D330" s="36">
        <v>277.0</v>
      </c>
      <c r="E330" s="4">
        <v>3.0</v>
      </c>
      <c r="F330" s="36">
        <v>700.0</v>
      </c>
      <c r="G330" s="1">
        <f t="shared" si="1"/>
        <v>11</v>
      </c>
    </row>
    <row r="331">
      <c r="A331" s="35">
        <v>45987.0</v>
      </c>
      <c r="B331" s="4">
        <v>28554.0</v>
      </c>
      <c r="C331" s="4">
        <v>232.0</v>
      </c>
      <c r="D331" s="36">
        <v>239.0</v>
      </c>
      <c r="E331" s="4">
        <v>3.0</v>
      </c>
      <c r="F331" s="36">
        <v>548.0</v>
      </c>
      <c r="G331" s="1">
        <f t="shared" si="1"/>
        <v>11</v>
      </c>
    </row>
    <row r="332">
      <c r="A332" s="35">
        <v>45988.0</v>
      </c>
      <c r="B332" s="4">
        <v>22922.0</v>
      </c>
      <c r="C332" s="4">
        <v>323.0</v>
      </c>
      <c r="D332" s="36">
        <v>329.0</v>
      </c>
      <c r="E332" s="4">
        <v>3.0</v>
      </c>
      <c r="F332" s="36">
        <v>727.0</v>
      </c>
      <c r="G332" s="1">
        <f t="shared" si="1"/>
        <v>11</v>
      </c>
    </row>
    <row r="333">
      <c r="A333" s="35">
        <v>45989.0</v>
      </c>
      <c r="B333" s="4">
        <v>96010.0</v>
      </c>
      <c r="C333" s="4">
        <v>2502.0</v>
      </c>
      <c r="D333" s="36">
        <v>2679.0</v>
      </c>
      <c r="E333" s="4">
        <v>30.0</v>
      </c>
      <c r="F333" s="36">
        <v>3420.0</v>
      </c>
      <c r="G333" s="1">
        <f t="shared" si="1"/>
        <v>11</v>
      </c>
    </row>
    <row r="334">
      <c r="A334" s="35">
        <v>45990.0</v>
      </c>
      <c r="B334" s="4">
        <v>38758.0</v>
      </c>
      <c r="C334" s="4">
        <v>852.0</v>
      </c>
      <c r="D334" s="36">
        <v>894.0</v>
      </c>
      <c r="E334" s="4">
        <v>12.0</v>
      </c>
      <c r="F334" s="36">
        <v>2479.0</v>
      </c>
      <c r="G334" s="1">
        <f t="shared" si="1"/>
        <v>11</v>
      </c>
    </row>
    <row r="335">
      <c r="A335" s="35">
        <v>45991.0</v>
      </c>
      <c r="B335" s="4">
        <v>45666.0</v>
      </c>
      <c r="C335" s="4">
        <v>1244.0</v>
      </c>
      <c r="D335" s="36">
        <v>1187.0</v>
      </c>
      <c r="E335" s="4">
        <v>20.0</v>
      </c>
      <c r="F335" s="36">
        <v>3903.0</v>
      </c>
      <c r="G335" s="1">
        <f t="shared" si="1"/>
        <v>11</v>
      </c>
    </row>
    <row r="336">
      <c r="A336" s="35">
        <v>45992.0</v>
      </c>
      <c r="B336" s="4">
        <v>75919.0</v>
      </c>
      <c r="C336" s="4">
        <v>2098.0</v>
      </c>
      <c r="D336" s="36">
        <v>2418.0</v>
      </c>
      <c r="E336" s="4">
        <v>37.0</v>
      </c>
      <c r="F336" s="36">
        <v>5712.0</v>
      </c>
      <c r="G336" s="1">
        <f t="shared" si="1"/>
        <v>12</v>
      </c>
    </row>
    <row r="337">
      <c r="A337" s="35">
        <v>45993.0</v>
      </c>
      <c r="B337" s="4">
        <v>78510.0</v>
      </c>
      <c r="C337" s="4">
        <v>1614.0</v>
      </c>
      <c r="D337" s="36">
        <v>2062.0</v>
      </c>
      <c r="E337" s="4">
        <v>43.0</v>
      </c>
      <c r="F337" s="36">
        <v>6924.0</v>
      </c>
      <c r="G337" s="1">
        <f t="shared" si="1"/>
        <v>12</v>
      </c>
    </row>
    <row r="338">
      <c r="A338" s="35">
        <v>45994.0</v>
      </c>
      <c r="B338" s="4">
        <v>55276.0</v>
      </c>
      <c r="C338" s="4">
        <v>647.0</v>
      </c>
      <c r="D338" s="36">
        <v>1018.0</v>
      </c>
      <c r="E338" s="4">
        <v>14.0</v>
      </c>
      <c r="F338" s="36">
        <v>2852.0</v>
      </c>
      <c r="G338" s="1">
        <f t="shared" si="1"/>
        <v>12</v>
      </c>
    </row>
    <row r="339">
      <c r="A339" s="35">
        <v>45995.0</v>
      </c>
      <c r="B339" s="4">
        <v>92609.0</v>
      </c>
      <c r="C339" s="4">
        <v>2428.0</v>
      </c>
      <c r="D339" s="36">
        <v>3901.0</v>
      </c>
      <c r="E339" s="4">
        <v>81.0</v>
      </c>
      <c r="F339" s="36">
        <v>11594.0</v>
      </c>
      <c r="G339" s="1">
        <f t="shared" si="1"/>
        <v>12</v>
      </c>
    </row>
    <row r="340">
      <c r="A340" s="35">
        <v>45996.0</v>
      </c>
      <c r="B340" s="4">
        <v>66369.0</v>
      </c>
      <c r="C340" s="4">
        <v>735.0</v>
      </c>
      <c r="D340" s="36">
        <v>995.0</v>
      </c>
      <c r="E340" s="4">
        <v>24.0</v>
      </c>
      <c r="F340" s="36">
        <v>2436.0</v>
      </c>
      <c r="G340" s="1">
        <f t="shared" si="1"/>
        <v>12</v>
      </c>
    </row>
    <row r="341">
      <c r="A341" s="35">
        <v>45997.0</v>
      </c>
      <c r="B341" s="4">
        <v>50905.0</v>
      </c>
      <c r="C341" s="4">
        <v>1581.0</v>
      </c>
      <c r="D341" s="36">
        <v>2340.0</v>
      </c>
      <c r="E341" s="4">
        <v>30.0</v>
      </c>
      <c r="F341" s="36">
        <v>4082.0</v>
      </c>
      <c r="G341" s="1">
        <f t="shared" si="1"/>
        <v>12</v>
      </c>
    </row>
    <row r="342">
      <c r="A342" s="35">
        <v>45998.0</v>
      </c>
      <c r="B342" s="4">
        <v>61287.0</v>
      </c>
      <c r="C342" s="4">
        <v>1317.0</v>
      </c>
      <c r="D342" s="36">
        <v>1657.0</v>
      </c>
      <c r="E342" s="4">
        <v>37.0</v>
      </c>
      <c r="F342" s="36">
        <v>4739.0</v>
      </c>
      <c r="G342" s="1">
        <f t="shared" si="1"/>
        <v>12</v>
      </c>
    </row>
    <row r="343">
      <c r="A343" s="35">
        <v>45999.0</v>
      </c>
      <c r="B343" s="4">
        <v>87758.0</v>
      </c>
      <c r="C343" s="4">
        <v>1633.0</v>
      </c>
      <c r="D343" s="36">
        <v>2491.0</v>
      </c>
      <c r="E343" s="4">
        <v>37.0</v>
      </c>
      <c r="F343" s="36">
        <v>6428.0</v>
      </c>
      <c r="G343" s="1">
        <f t="shared" si="1"/>
        <v>12</v>
      </c>
    </row>
    <row r="344">
      <c r="A344" s="35">
        <v>46000.0</v>
      </c>
      <c r="B344" s="4">
        <v>57427.0</v>
      </c>
      <c r="C344" s="4">
        <v>1643.0</v>
      </c>
      <c r="D344" s="36">
        <v>2313.0</v>
      </c>
      <c r="E344" s="4">
        <v>49.0</v>
      </c>
      <c r="F344" s="36">
        <v>5060.0</v>
      </c>
      <c r="G344" s="1">
        <f t="shared" si="1"/>
        <v>12</v>
      </c>
    </row>
    <row r="345">
      <c r="A345" s="35">
        <v>46001.0</v>
      </c>
      <c r="B345" s="4">
        <v>37906.0</v>
      </c>
      <c r="C345" s="4">
        <v>824.0</v>
      </c>
      <c r="D345" s="36">
        <v>1292.0</v>
      </c>
      <c r="E345" s="4">
        <v>14.0</v>
      </c>
      <c r="F345" s="36">
        <v>1401.0</v>
      </c>
      <c r="G345" s="1">
        <f t="shared" si="1"/>
        <v>12</v>
      </c>
    </row>
    <row r="346">
      <c r="A346" s="35">
        <v>46002.0</v>
      </c>
      <c r="B346" s="4">
        <v>59431.0</v>
      </c>
      <c r="C346" s="4">
        <v>763.0</v>
      </c>
      <c r="D346" s="36">
        <v>1249.0</v>
      </c>
      <c r="E346" s="4">
        <v>12.0</v>
      </c>
      <c r="F346" s="36">
        <v>1779.0</v>
      </c>
      <c r="G346" s="1">
        <f t="shared" si="1"/>
        <v>12</v>
      </c>
    </row>
    <row r="347">
      <c r="A347" s="35">
        <v>46003.0</v>
      </c>
      <c r="B347" s="4">
        <v>36557.0</v>
      </c>
      <c r="C347" s="4">
        <v>346.0</v>
      </c>
      <c r="D347" s="36">
        <v>510.0</v>
      </c>
      <c r="E347" s="4">
        <v>5.0</v>
      </c>
      <c r="F347" s="36">
        <v>515.0</v>
      </c>
      <c r="G347" s="1">
        <f t="shared" si="1"/>
        <v>12</v>
      </c>
    </row>
    <row r="348">
      <c r="A348" s="35">
        <v>46004.0</v>
      </c>
      <c r="B348" s="4">
        <v>84272.0</v>
      </c>
      <c r="C348" s="4">
        <v>2113.0</v>
      </c>
      <c r="D348" s="36">
        <v>2511.0</v>
      </c>
      <c r="E348" s="4">
        <v>58.0</v>
      </c>
      <c r="F348" s="36">
        <v>5962.0</v>
      </c>
      <c r="G348" s="1">
        <f t="shared" si="1"/>
        <v>12</v>
      </c>
    </row>
    <row r="349">
      <c r="A349" s="35">
        <v>46005.0</v>
      </c>
      <c r="B349" s="4">
        <v>26243.0</v>
      </c>
      <c r="C349" s="4">
        <v>640.0</v>
      </c>
      <c r="D349" s="36">
        <v>1065.0</v>
      </c>
      <c r="E349" s="4">
        <v>13.0</v>
      </c>
      <c r="F349" s="36">
        <v>2217.0</v>
      </c>
      <c r="G349" s="1">
        <f t="shared" si="1"/>
        <v>12</v>
      </c>
    </row>
    <row r="350">
      <c r="A350" s="35">
        <v>46006.0</v>
      </c>
      <c r="B350" s="4">
        <v>86600.0</v>
      </c>
      <c r="C350" s="4">
        <v>2739.0</v>
      </c>
      <c r="D350" s="36">
        <v>3791.0</v>
      </c>
      <c r="E350" s="4">
        <v>79.0</v>
      </c>
      <c r="F350" s="36">
        <v>5597.0</v>
      </c>
      <c r="G350" s="1">
        <f t="shared" si="1"/>
        <v>12</v>
      </c>
    </row>
    <row r="351">
      <c r="A351" s="35">
        <v>46007.0</v>
      </c>
      <c r="B351" s="4">
        <v>72407.0</v>
      </c>
      <c r="C351" s="4">
        <v>2202.0</v>
      </c>
      <c r="D351" s="36">
        <v>2457.0</v>
      </c>
      <c r="E351" s="4">
        <v>73.0</v>
      </c>
      <c r="F351" s="36">
        <v>11209.0</v>
      </c>
      <c r="G351" s="1">
        <f t="shared" si="1"/>
        <v>12</v>
      </c>
    </row>
    <row r="352">
      <c r="A352" s="35">
        <v>46008.0</v>
      </c>
      <c r="B352" s="4">
        <v>39996.0</v>
      </c>
      <c r="C352" s="4">
        <v>685.0</v>
      </c>
      <c r="D352" s="36">
        <v>769.0</v>
      </c>
      <c r="E352" s="4">
        <v>11.0</v>
      </c>
      <c r="F352" s="36">
        <v>1781.0</v>
      </c>
      <c r="G352" s="1">
        <f t="shared" si="1"/>
        <v>12</v>
      </c>
    </row>
    <row r="353">
      <c r="A353" s="35">
        <v>46009.0</v>
      </c>
      <c r="B353" s="4">
        <v>74822.0</v>
      </c>
      <c r="C353" s="4">
        <v>1589.0</v>
      </c>
      <c r="D353" s="36">
        <v>2131.0</v>
      </c>
      <c r="E353" s="4">
        <v>40.0</v>
      </c>
      <c r="F353" s="36">
        <v>5856.0</v>
      </c>
      <c r="G353" s="1">
        <f t="shared" si="1"/>
        <v>12</v>
      </c>
    </row>
    <row r="354">
      <c r="A354" s="35">
        <v>46010.0</v>
      </c>
      <c r="B354" s="4">
        <v>65011.0</v>
      </c>
      <c r="C354" s="4">
        <v>2207.0</v>
      </c>
      <c r="D354" s="36">
        <v>3436.0</v>
      </c>
      <c r="E354" s="4">
        <v>49.0</v>
      </c>
      <c r="F354" s="36">
        <v>4809.0</v>
      </c>
      <c r="G354" s="1">
        <f t="shared" si="1"/>
        <v>12</v>
      </c>
    </row>
    <row r="355">
      <c r="A355" s="35">
        <v>46011.0</v>
      </c>
      <c r="B355" s="4">
        <v>89340.0</v>
      </c>
      <c r="C355" s="4">
        <v>2314.0</v>
      </c>
      <c r="D355" s="36">
        <v>2856.0</v>
      </c>
      <c r="E355" s="4">
        <v>42.0</v>
      </c>
      <c r="F355" s="36">
        <v>6143.0</v>
      </c>
      <c r="G355" s="1">
        <f t="shared" si="1"/>
        <v>12</v>
      </c>
    </row>
    <row r="356">
      <c r="A356" s="35">
        <v>46012.0</v>
      </c>
      <c r="B356" s="4">
        <v>28734.0</v>
      </c>
      <c r="C356" s="4">
        <v>274.0</v>
      </c>
      <c r="D356" s="36">
        <v>312.0</v>
      </c>
      <c r="E356" s="4">
        <v>5.0</v>
      </c>
      <c r="F356" s="36">
        <v>779.0</v>
      </c>
      <c r="G356" s="1">
        <f t="shared" si="1"/>
        <v>12</v>
      </c>
    </row>
    <row r="357">
      <c r="A357" s="35">
        <v>46013.0</v>
      </c>
      <c r="B357" s="4">
        <v>58608.0</v>
      </c>
      <c r="C357" s="4">
        <v>956.0</v>
      </c>
      <c r="D357" s="36">
        <v>1166.0</v>
      </c>
      <c r="E357" s="4">
        <v>17.0</v>
      </c>
      <c r="F357" s="36">
        <v>1734.0</v>
      </c>
      <c r="G357" s="1">
        <f t="shared" si="1"/>
        <v>12</v>
      </c>
    </row>
    <row r="358">
      <c r="A358" s="35">
        <v>46014.0</v>
      </c>
      <c r="B358" s="4">
        <v>59262.0</v>
      </c>
      <c r="C358" s="4">
        <v>700.0</v>
      </c>
      <c r="D358" s="36">
        <v>874.0</v>
      </c>
      <c r="E358" s="4">
        <v>21.0</v>
      </c>
      <c r="F358" s="36">
        <v>2884.0</v>
      </c>
      <c r="G358" s="1">
        <f t="shared" si="1"/>
        <v>12</v>
      </c>
    </row>
    <row r="359">
      <c r="A359" s="35">
        <v>46015.0</v>
      </c>
      <c r="B359" s="4">
        <v>73767.0</v>
      </c>
      <c r="C359" s="4">
        <v>1761.0</v>
      </c>
      <c r="D359" s="36">
        <v>1722.0</v>
      </c>
      <c r="E359" s="4">
        <v>36.0</v>
      </c>
      <c r="F359" s="36">
        <v>4101.0</v>
      </c>
      <c r="G359" s="1">
        <f t="shared" si="1"/>
        <v>12</v>
      </c>
    </row>
    <row r="360">
      <c r="A360" s="35">
        <v>46016.0</v>
      </c>
      <c r="B360" s="4">
        <v>90803.0</v>
      </c>
      <c r="C360" s="4">
        <v>1235.0</v>
      </c>
      <c r="D360" s="36">
        <v>1204.0</v>
      </c>
      <c r="E360" s="4">
        <v>29.0</v>
      </c>
      <c r="F360" s="36">
        <v>2943.0</v>
      </c>
      <c r="G360" s="1">
        <f t="shared" si="1"/>
        <v>12</v>
      </c>
    </row>
    <row r="361">
      <c r="A361" s="35">
        <v>46017.0</v>
      </c>
      <c r="B361" s="4">
        <v>35548.0</v>
      </c>
      <c r="C361" s="4">
        <v>568.0</v>
      </c>
      <c r="D361" s="36">
        <v>602.0</v>
      </c>
      <c r="E361" s="4">
        <v>9.0</v>
      </c>
      <c r="F361" s="36">
        <v>1336.0</v>
      </c>
      <c r="G361" s="1">
        <f t="shared" si="1"/>
        <v>12</v>
      </c>
    </row>
    <row r="362">
      <c r="A362" s="35">
        <v>46018.0</v>
      </c>
      <c r="B362" s="4">
        <v>84233.0</v>
      </c>
      <c r="C362" s="4">
        <v>2171.0</v>
      </c>
      <c r="D362" s="36">
        <v>1948.0</v>
      </c>
      <c r="E362" s="4">
        <v>37.0</v>
      </c>
      <c r="F362" s="36">
        <v>4579.0</v>
      </c>
      <c r="G362" s="1">
        <f t="shared" si="1"/>
        <v>12</v>
      </c>
    </row>
    <row r="363">
      <c r="A363" s="35">
        <v>46019.0</v>
      </c>
      <c r="B363" s="4">
        <v>75236.0</v>
      </c>
      <c r="C363" s="4">
        <v>2160.0</v>
      </c>
      <c r="D363" s="36">
        <v>3188.0</v>
      </c>
      <c r="E363" s="4">
        <v>46.0</v>
      </c>
      <c r="F363" s="36">
        <v>5751.0</v>
      </c>
      <c r="G363" s="1">
        <f t="shared" si="1"/>
        <v>12</v>
      </c>
    </row>
    <row r="364">
      <c r="A364" s="35">
        <v>46020.0</v>
      </c>
      <c r="B364" s="4">
        <v>57807.0</v>
      </c>
      <c r="C364" s="4">
        <v>969.0</v>
      </c>
      <c r="D364" s="36">
        <v>959.0</v>
      </c>
      <c r="E364" s="4">
        <v>16.0</v>
      </c>
      <c r="F364" s="36">
        <v>1453.0</v>
      </c>
      <c r="G364" s="1">
        <f t="shared" si="1"/>
        <v>12</v>
      </c>
    </row>
    <row r="365">
      <c r="A365" s="35">
        <v>46021.0</v>
      </c>
      <c r="B365" s="4">
        <v>48189.0</v>
      </c>
      <c r="C365" s="4">
        <v>1097.0</v>
      </c>
      <c r="D365" s="36">
        <v>1362.0</v>
      </c>
      <c r="E365" s="4">
        <v>24.0</v>
      </c>
      <c r="F365" s="36">
        <v>4209.0</v>
      </c>
      <c r="G365" s="1">
        <f t="shared" si="1"/>
        <v>12</v>
      </c>
    </row>
    <row r="366">
      <c r="A366" s="35">
        <v>46022.0</v>
      </c>
      <c r="B366" s="4">
        <v>79467.0</v>
      </c>
      <c r="C366" s="4">
        <v>2002.0</v>
      </c>
      <c r="D366" s="36">
        <v>2063.0</v>
      </c>
      <c r="E366" s="4">
        <v>46.0</v>
      </c>
      <c r="F366" s="36">
        <v>5993.0</v>
      </c>
      <c r="G366" s="1">
        <f t="shared" si="1"/>
        <v>12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12</v>
      </c>
      <c r="H1" s="1" t="s">
        <v>13</v>
      </c>
      <c r="I1" s="1" t="s">
        <v>49</v>
      </c>
      <c r="J1" s="1" t="s">
        <v>50</v>
      </c>
      <c r="K1" s="1" t="s">
        <v>51</v>
      </c>
      <c r="L1" s="1" t="s">
        <v>52</v>
      </c>
    </row>
    <row r="2">
      <c r="A2" s="35">
        <f t="array" ref="A2:F366">'TikTok Ads Raw Data'!A2:F366</f>
        <v>45658</v>
      </c>
      <c r="B2" s="4">
        <v>37761.0</v>
      </c>
      <c r="C2" s="4">
        <v>685.0</v>
      </c>
      <c r="D2" s="36">
        <v>519.0</v>
      </c>
      <c r="E2" s="4">
        <v>11.0</v>
      </c>
      <c r="F2" s="36">
        <v>1711.0</v>
      </c>
      <c r="G2" s="4">
        <f t="array" ref="G2:G366">IFERROR(C2:C366/B2:B366,0)</f>
        <v>0.01814040942</v>
      </c>
      <c r="H2" s="4">
        <f t="array" ref="H2:H366">IFERROR(E2:E366/C2:C366,0)</f>
        <v>0.01605839416</v>
      </c>
      <c r="I2" s="1">
        <f t="array" ref="I2:I366">IFERROR(D2:D366/B2:B366*1000,0)</f>
        <v>13.7443394</v>
      </c>
      <c r="J2" s="4">
        <f t="array" ref="J2:J366">IFERROR(D2:D366/C2:C366,0)</f>
        <v>0.7576642336</v>
      </c>
      <c r="K2" s="4">
        <f t="array" ref="K2:K366">IFERROR(F2:F366/E2:E366,0)</f>
        <v>155.5454545</v>
      </c>
      <c r="L2" s="4">
        <f t="array" ref="L2:L366">IFERROR(F2:F366/D2:D366,0)</f>
        <v>3.29672447</v>
      </c>
    </row>
    <row r="3">
      <c r="A3" s="35">
        <v>45659.0</v>
      </c>
      <c r="B3" s="4">
        <v>113622.0</v>
      </c>
      <c r="C3" s="4">
        <v>2139.0</v>
      </c>
      <c r="D3" s="36">
        <v>1923.0</v>
      </c>
      <c r="E3" s="4">
        <v>50.0</v>
      </c>
      <c r="F3" s="36">
        <v>6262.0</v>
      </c>
      <c r="G3" s="4">
        <v>0.01882557955325553</v>
      </c>
      <c r="H3" s="4">
        <v>0.02337540906965872</v>
      </c>
      <c r="I3" s="4">
        <v>16.924539261762686</v>
      </c>
      <c r="J3" s="4">
        <v>0.8990182328190743</v>
      </c>
      <c r="K3" s="4">
        <v>125.24</v>
      </c>
      <c r="L3" s="4">
        <v>3.2563702548101925</v>
      </c>
    </row>
    <row r="4">
      <c r="A4" s="35">
        <v>45660.0</v>
      </c>
      <c r="B4" s="4">
        <v>25676.0</v>
      </c>
      <c r="C4" s="4">
        <v>360.0</v>
      </c>
      <c r="D4" s="36">
        <v>270.0</v>
      </c>
      <c r="E4" s="4">
        <v>7.0</v>
      </c>
      <c r="F4" s="36">
        <v>861.0</v>
      </c>
      <c r="G4" s="4">
        <v>0.014020875525782833</v>
      </c>
      <c r="H4" s="4">
        <v>0.019444444444444445</v>
      </c>
      <c r="I4" s="4">
        <v>10.515656644337124</v>
      </c>
      <c r="J4" s="4">
        <v>0.75</v>
      </c>
      <c r="K4" s="4">
        <v>123.0</v>
      </c>
      <c r="L4" s="4">
        <v>3.188888888888889</v>
      </c>
    </row>
    <row r="5">
      <c r="A5" s="35">
        <v>45661.0</v>
      </c>
      <c r="B5" s="4">
        <v>55742.0</v>
      </c>
      <c r="C5" s="4">
        <v>927.0</v>
      </c>
      <c r="D5" s="36">
        <v>951.0</v>
      </c>
      <c r="E5" s="4">
        <v>16.0</v>
      </c>
      <c r="F5" s="36">
        <v>3532.0</v>
      </c>
      <c r="G5" s="4">
        <v>0.0166301890854293</v>
      </c>
      <c r="H5" s="4">
        <v>0.017259978425026967</v>
      </c>
      <c r="I5" s="4">
        <v>17.060744142657242</v>
      </c>
      <c r="J5" s="4">
        <v>1.0258899676375404</v>
      </c>
      <c r="K5" s="4">
        <v>220.75</v>
      </c>
      <c r="L5" s="4">
        <v>3.7139852786540484</v>
      </c>
    </row>
    <row r="6">
      <c r="A6" s="35">
        <v>45662.0</v>
      </c>
      <c r="B6" s="4">
        <v>50034.0</v>
      </c>
      <c r="C6" s="4">
        <v>669.0</v>
      </c>
      <c r="D6" s="36">
        <v>588.0</v>
      </c>
      <c r="E6" s="4">
        <v>15.0</v>
      </c>
      <c r="F6" s="36">
        <v>3464.0</v>
      </c>
      <c r="G6" s="4">
        <v>0.01337090778270776</v>
      </c>
      <c r="H6" s="4">
        <v>0.02242152466367713</v>
      </c>
      <c r="I6" s="4">
        <v>11.752008634128792</v>
      </c>
      <c r="J6" s="4">
        <v>0.8789237668161435</v>
      </c>
      <c r="K6" s="4">
        <v>230.93333333333334</v>
      </c>
      <c r="L6" s="4">
        <v>5.891156462585034</v>
      </c>
    </row>
    <row r="7">
      <c r="A7" s="35">
        <v>45663.0</v>
      </c>
      <c r="B7" s="4">
        <v>72795.0</v>
      </c>
      <c r="C7" s="4">
        <v>1327.0</v>
      </c>
      <c r="D7" s="36">
        <v>1464.0</v>
      </c>
      <c r="E7" s="4">
        <v>22.0</v>
      </c>
      <c r="F7" s="36">
        <v>3804.0</v>
      </c>
      <c r="G7" s="4">
        <v>0.018229273988598117</v>
      </c>
      <c r="H7" s="4">
        <v>0.016578749058025623</v>
      </c>
      <c r="I7" s="4">
        <v>20.11127137852875</v>
      </c>
      <c r="J7" s="4">
        <v>1.1032403918613414</v>
      </c>
      <c r="K7" s="4">
        <v>172.9090909090909</v>
      </c>
      <c r="L7" s="4">
        <v>2.598360655737705</v>
      </c>
    </row>
    <row r="8">
      <c r="A8" s="35">
        <v>45664.0</v>
      </c>
      <c r="B8" s="4">
        <v>54686.0</v>
      </c>
      <c r="C8" s="4">
        <v>1607.0</v>
      </c>
      <c r="D8" s="36">
        <v>1118.0</v>
      </c>
      <c r="E8" s="4">
        <v>33.0</v>
      </c>
      <c r="F8" s="36">
        <v>6814.0</v>
      </c>
      <c r="G8" s="4">
        <v>0.02938594887174048</v>
      </c>
      <c r="H8" s="4">
        <v>0.020535158680771624</v>
      </c>
      <c r="I8" s="4">
        <v>20.443989320849944</v>
      </c>
      <c r="J8" s="4">
        <v>0.6957062850031114</v>
      </c>
      <c r="K8" s="4">
        <v>206.4848484848485</v>
      </c>
      <c r="L8" s="4">
        <v>6.094812164579606</v>
      </c>
    </row>
    <row r="9">
      <c r="A9" s="35">
        <v>45665.0</v>
      </c>
      <c r="B9" s="4">
        <v>51903.0</v>
      </c>
      <c r="C9" s="4">
        <v>509.0</v>
      </c>
      <c r="D9" s="36">
        <v>545.0</v>
      </c>
      <c r="E9" s="4">
        <v>10.0</v>
      </c>
      <c r="F9" s="36">
        <v>1671.0</v>
      </c>
      <c r="G9" s="4">
        <v>0.009806754908194132</v>
      </c>
      <c r="H9" s="4">
        <v>0.019646365422396856</v>
      </c>
      <c r="I9" s="4">
        <v>10.500356434117489</v>
      </c>
      <c r="J9" s="4">
        <v>1.0707269155206287</v>
      </c>
      <c r="K9" s="4">
        <v>167.1</v>
      </c>
      <c r="L9" s="4">
        <v>3.0660550458715594</v>
      </c>
    </row>
    <row r="10">
      <c r="A10" s="35">
        <v>45666.0</v>
      </c>
      <c r="B10" s="4">
        <v>96174.0</v>
      </c>
      <c r="C10" s="4">
        <v>2195.0</v>
      </c>
      <c r="D10" s="36">
        <v>1870.0</v>
      </c>
      <c r="E10" s="4">
        <v>38.0</v>
      </c>
      <c r="F10" s="36">
        <v>8346.0</v>
      </c>
      <c r="G10" s="4">
        <v>0.022823216253873187</v>
      </c>
      <c r="H10" s="4">
        <v>0.017312072892938495</v>
      </c>
      <c r="I10" s="4">
        <v>19.443924553413606</v>
      </c>
      <c r="J10" s="4">
        <v>0.8519362186788155</v>
      </c>
      <c r="K10" s="4">
        <v>219.6315789473684</v>
      </c>
      <c r="L10" s="4">
        <v>4.463101604278075</v>
      </c>
    </row>
    <row r="11">
      <c r="A11" s="35">
        <v>45667.0</v>
      </c>
      <c r="B11" s="4">
        <v>85203.0</v>
      </c>
      <c r="C11" s="4">
        <v>1569.0</v>
      </c>
      <c r="D11" s="36">
        <v>2066.0</v>
      </c>
      <c r="E11" s="4">
        <v>19.0</v>
      </c>
      <c r="F11" s="36">
        <v>3876.0</v>
      </c>
      <c r="G11" s="4">
        <v>0.018414844547727193</v>
      </c>
      <c r="H11" s="4">
        <v>0.012109623964308477</v>
      </c>
      <c r="I11" s="4">
        <v>24.2479724892316</v>
      </c>
      <c r="J11" s="4">
        <v>1.3167622689611218</v>
      </c>
      <c r="K11" s="4">
        <v>204.0</v>
      </c>
      <c r="L11" s="4">
        <v>1.8760890609874152</v>
      </c>
    </row>
    <row r="12">
      <c r="A12" s="35">
        <v>45668.0</v>
      </c>
      <c r="B12" s="4">
        <v>81432.0</v>
      </c>
      <c r="C12" s="4">
        <v>1020.0</v>
      </c>
      <c r="D12" s="36">
        <v>1090.0</v>
      </c>
      <c r="E12" s="4">
        <v>20.0</v>
      </c>
      <c r="F12" s="36">
        <v>4285.0</v>
      </c>
      <c r="G12" s="4">
        <v>0.012525788387857353</v>
      </c>
      <c r="H12" s="4">
        <v>0.0196078431372549</v>
      </c>
      <c r="I12" s="4">
        <v>13.3854013164358</v>
      </c>
      <c r="J12" s="4">
        <v>1.0686274509803921</v>
      </c>
      <c r="K12" s="4">
        <v>214.25</v>
      </c>
      <c r="L12" s="4">
        <v>3.9311926605504586</v>
      </c>
    </row>
    <row r="13">
      <c r="A13" s="35">
        <v>45669.0</v>
      </c>
      <c r="B13" s="4">
        <v>86724.0</v>
      </c>
      <c r="C13" s="4">
        <v>1608.0</v>
      </c>
      <c r="D13" s="36">
        <v>1626.0</v>
      </c>
      <c r="E13" s="4">
        <v>20.0</v>
      </c>
      <c r="F13" s="36">
        <v>4266.0</v>
      </c>
      <c r="G13" s="4">
        <v>0.018541580185415803</v>
      </c>
      <c r="H13" s="4">
        <v>0.012437810945273632</v>
      </c>
      <c r="I13" s="4">
        <v>18.74913518749135</v>
      </c>
      <c r="J13" s="4">
        <v>1.0111940298507462</v>
      </c>
      <c r="K13" s="4">
        <v>213.3</v>
      </c>
      <c r="L13" s="4">
        <v>2.623616236162362</v>
      </c>
    </row>
    <row r="14">
      <c r="A14" s="35">
        <v>45670.0</v>
      </c>
      <c r="B14" s="4">
        <v>97450.0</v>
      </c>
      <c r="C14" s="4">
        <v>2234.0</v>
      </c>
      <c r="D14" s="36">
        <v>1909.0</v>
      </c>
      <c r="E14" s="4">
        <v>32.0</v>
      </c>
      <c r="F14" s="36">
        <v>4158.0</v>
      </c>
      <c r="G14" s="4">
        <v>0.022924576706003078</v>
      </c>
      <c r="H14" s="4">
        <v>0.01432408236347359</v>
      </c>
      <c r="I14" s="4">
        <v>19.589533093894303</v>
      </c>
      <c r="J14" s="4">
        <v>0.8545210384959714</v>
      </c>
      <c r="K14" s="4">
        <v>129.9375</v>
      </c>
      <c r="L14" s="4">
        <v>2.178103719224725</v>
      </c>
    </row>
    <row r="15">
      <c r="A15" s="35">
        <v>45671.0</v>
      </c>
      <c r="B15" s="4">
        <v>87059.0</v>
      </c>
      <c r="C15" s="4">
        <v>1682.0</v>
      </c>
      <c r="D15" s="36">
        <v>1782.0</v>
      </c>
      <c r="E15" s="4">
        <v>31.0</v>
      </c>
      <c r="F15" s="36">
        <v>4794.0</v>
      </c>
      <c r="G15" s="4">
        <v>0.019320231107639647</v>
      </c>
      <c r="H15" s="4">
        <v>0.018430439952437573</v>
      </c>
      <c r="I15" s="4">
        <v>20.46887742795116</v>
      </c>
      <c r="J15" s="4">
        <v>1.0594530321046374</v>
      </c>
      <c r="K15" s="4">
        <v>154.6451612903226</v>
      </c>
      <c r="L15" s="4">
        <v>2.6902356902356903</v>
      </c>
    </row>
    <row r="16">
      <c r="A16" s="35">
        <v>45672.0</v>
      </c>
      <c r="B16" s="4">
        <v>82315.0</v>
      </c>
      <c r="C16" s="4">
        <v>2176.0</v>
      </c>
      <c r="D16" s="36">
        <v>1913.0</v>
      </c>
      <c r="E16" s="4">
        <v>34.0</v>
      </c>
      <c r="F16" s="36">
        <v>3083.0</v>
      </c>
      <c r="G16" s="4">
        <v>0.026435036141650974</v>
      </c>
      <c r="H16" s="4">
        <v>0.015625</v>
      </c>
      <c r="I16" s="4">
        <v>23.239992710927535</v>
      </c>
      <c r="J16" s="4">
        <v>0.8791360294117647</v>
      </c>
      <c r="K16" s="4">
        <v>90.67647058823529</v>
      </c>
      <c r="L16" s="4">
        <v>1.611604809200209</v>
      </c>
    </row>
    <row r="17">
      <c r="A17" s="35">
        <v>45673.0</v>
      </c>
      <c r="B17" s="4">
        <v>30991.0</v>
      </c>
      <c r="C17" s="4">
        <v>726.0</v>
      </c>
      <c r="D17" s="36">
        <v>984.0</v>
      </c>
      <c r="E17" s="4">
        <v>13.0</v>
      </c>
      <c r="F17" s="36">
        <v>1970.0</v>
      </c>
      <c r="G17" s="4">
        <v>0.02342615598076861</v>
      </c>
      <c r="H17" s="4">
        <v>0.01790633608815427</v>
      </c>
      <c r="I17" s="4">
        <v>31.751153560711177</v>
      </c>
      <c r="J17" s="4">
        <v>1.3553719008264462</v>
      </c>
      <c r="K17" s="4">
        <v>151.53846153846155</v>
      </c>
      <c r="L17" s="4">
        <v>2.002032520325203</v>
      </c>
    </row>
    <row r="18">
      <c r="A18" s="35">
        <v>45674.0</v>
      </c>
      <c r="B18" s="4">
        <v>112741.0</v>
      </c>
      <c r="C18" s="4">
        <v>2898.0</v>
      </c>
      <c r="D18" s="36">
        <v>2966.0</v>
      </c>
      <c r="E18" s="4">
        <v>70.0</v>
      </c>
      <c r="F18" s="36">
        <v>10287.0</v>
      </c>
      <c r="G18" s="4">
        <v>0.025704934318482184</v>
      </c>
      <c r="H18" s="4">
        <v>0.024154589371980676</v>
      </c>
      <c r="I18" s="4">
        <v>26.308086676541805</v>
      </c>
      <c r="J18" s="4">
        <v>1.0234644582470669</v>
      </c>
      <c r="K18" s="4">
        <v>146.95714285714286</v>
      </c>
      <c r="L18" s="4">
        <v>3.4683074848280513</v>
      </c>
    </row>
    <row r="19">
      <c r="A19" s="35">
        <v>45675.0</v>
      </c>
      <c r="B19" s="4">
        <v>65598.0</v>
      </c>
      <c r="C19" s="4">
        <v>2140.0</v>
      </c>
      <c r="D19" s="36">
        <v>1439.0</v>
      </c>
      <c r="E19" s="4">
        <v>28.0</v>
      </c>
      <c r="F19" s="36">
        <v>3779.0</v>
      </c>
      <c r="G19" s="4">
        <v>0.03262294582151895</v>
      </c>
      <c r="H19" s="4">
        <v>0.013084112149532711</v>
      </c>
      <c r="I19" s="4">
        <v>21.936644409890548</v>
      </c>
      <c r="J19" s="4">
        <v>0.672429906542056</v>
      </c>
      <c r="K19" s="4">
        <v>134.96428571428572</v>
      </c>
      <c r="L19" s="4">
        <v>2.626129256428075</v>
      </c>
    </row>
    <row r="20">
      <c r="A20" s="35">
        <v>45676.0</v>
      </c>
      <c r="B20" s="4">
        <v>74983.0</v>
      </c>
      <c r="C20" s="4">
        <v>1011.0</v>
      </c>
      <c r="D20" s="36">
        <v>1029.0</v>
      </c>
      <c r="E20" s="4">
        <v>23.0</v>
      </c>
      <c r="F20" s="36">
        <v>2972.0</v>
      </c>
      <c r="G20" s="4">
        <v>0.01348305615939613</v>
      </c>
      <c r="H20" s="4">
        <v>0.02274975272007913</v>
      </c>
      <c r="I20" s="4">
        <v>13.723110571729592</v>
      </c>
      <c r="J20" s="4">
        <v>1.0178041543026706</v>
      </c>
      <c r="K20" s="4">
        <v>129.2173913043478</v>
      </c>
      <c r="L20" s="4">
        <v>2.88824101068999</v>
      </c>
    </row>
    <row r="21">
      <c r="A21" s="35">
        <v>45677.0</v>
      </c>
      <c r="B21" s="4">
        <v>89780.0</v>
      </c>
      <c r="C21" s="4">
        <v>1406.0</v>
      </c>
      <c r="D21" s="36">
        <v>998.0</v>
      </c>
      <c r="E21" s="4">
        <v>18.0</v>
      </c>
      <c r="F21" s="36">
        <v>4343.0</v>
      </c>
      <c r="G21" s="4">
        <v>0.01566050345288483</v>
      </c>
      <c r="H21" s="4">
        <v>0.012802275960170697</v>
      </c>
      <c r="I21" s="4">
        <v>11.116061483626643</v>
      </c>
      <c r="J21" s="4">
        <v>0.7098150782361309</v>
      </c>
      <c r="K21" s="4">
        <v>241.27777777777777</v>
      </c>
      <c r="L21" s="4">
        <v>4.351703406813627</v>
      </c>
    </row>
    <row r="22">
      <c r="A22" s="35">
        <v>45678.0</v>
      </c>
      <c r="B22" s="4">
        <v>79638.0</v>
      </c>
      <c r="C22" s="4">
        <v>1829.0</v>
      </c>
      <c r="D22" s="36">
        <v>1825.0</v>
      </c>
      <c r="E22" s="4">
        <v>30.0</v>
      </c>
      <c r="F22" s="36">
        <v>4958.0</v>
      </c>
      <c r="G22" s="4">
        <v>0.02296642306436626</v>
      </c>
      <c r="H22" s="4">
        <v>0.016402405686167305</v>
      </c>
      <c r="I22" s="4">
        <v>22.916195785931336</v>
      </c>
      <c r="J22" s="4">
        <v>0.9978130125751777</v>
      </c>
      <c r="K22" s="4">
        <v>165.26666666666668</v>
      </c>
      <c r="L22" s="4">
        <v>2.716712328767123</v>
      </c>
    </row>
    <row r="23">
      <c r="A23" s="35">
        <v>45679.0</v>
      </c>
      <c r="B23" s="4">
        <v>56982.0</v>
      </c>
      <c r="C23" s="4">
        <v>596.0</v>
      </c>
      <c r="D23" s="36">
        <v>603.0</v>
      </c>
      <c r="E23" s="4">
        <v>11.0</v>
      </c>
      <c r="F23" s="36">
        <v>1558.0</v>
      </c>
      <c r="G23" s="4">
        <v>0.010459443332982345</v>
      </c>
      <c r="H23" s="4">
        <v>0.018456375838926176</v>
      </c>
      <c r="I23" s="4">
        <v>10.58228914394019</v>
      </c>
      <c r="J23" s="4">
        <v>1.011744966442953</v>
      </c>
      <c r="K23" s="4">
        <v>141.63636363636363</v>
      </c>
      <c r="L23" s="4">
        <v>2.583747927031509</v>
      </c>
    </row>
    <row r="24">
      <c r="A24" s="35">
        <v>45680.0</v>
      </c>
      <c r="B24" s="4">
        <v>25416.0</v>
      </c>
      <c r="C24" s="4">
        <v>196.0</v>
      </c>
      <c r="D24" s="36">
        <v>129.0</v>
      </c>
      <c r="E24" s="4">
        <v>3.0</v>
      </c>
      <c r="F24" s="36">
        <v>693.0</v>
      </c>
      <c r="G24" s="4">
        <v>0.007711677683349071</v>
      </c>
      <c r="H24" s="4">
        <v>0.015306122448979591</v>
      </c>
      <c r="I24" s="4">
        <v>5.075542965061379</v>
      </c>
      <c r="J24" s="4">
        <v>0.6581632653061225</v>
      </c>
      <c r="K24" s="4">
        <v>231.0</v>
      </c>
      <c r="L24" s="4">
        <v>5.372093023255814</v>
      </c>
    </row>
    <row r="25">
      <c r="A25" s="35">
        <v>45681.0</v>
      </c>
      <c r="B25" s="4">
        <v>83714.0</v>
      </c>
      <c r="C25" s="4">
        <v>1288.0</v>
      </c>
      <c r="D25" s="36">
        <v>1499.0</v>
      </c>
      <c r="E25" s="4">
        <v>29.0</v>
      </c>
      <c r="F25" s="36">
        <v>5466.0</v>
      </c>
      <c r="G25" s="4">
        <v>0.01538571803999331</v>
      </c>
      <c r="H25" s="4">
        <v>0.02251552795031056</v>
      </c>
      <c r="I25" s="4">
        <v>17.906204458035695</v>
      </c>
      <c r="J25" s="4">
        <v>1.1638198757763976</v>
      </c>
      <c r="K25" s="4">
        <v>188.48275862068965</v>
      </c>
      <c r="L25" s="4">
        <v>3.646430953969313</v>
      </c>
    </row>
    <row r="26">
      <c r="A26" s="35">
        <v>45682.0</v>
      </c>
      <c r="B26" s="4">
        <v>61918.0</v>
      </c>
      <c r="C26" s="4">
        <v>1513.0</v>
      </c>
      <c r="D26" s="36">
        <v>2129.0</v>
      </c>
      <c r="E26" s="4">
        <v>35.0</v>
      </c>
      <c r="F26" s="36">
        <v>6437.0</v>
      </c>
      <c r="G26" s="4">
        <v>0.024435543783713945</v>
      </c>
      <c r="H26" s="4">
        <v>0.023132848645076007</v>
      </c>
      <c r="I26" s="4">
        <v>34.38418553570852</v>
      </c>
      <c r="J26" s="4">
        <v>1.4071381361533377</v>
      </c>
      <c r="K26" s="4">
        <v>183.9142857142857</v>
      </c>
      <c r="L26" s="4">
        <v>3.0234852043212777</v>
      </c>
    </row>
    <row r="27">
      <c r="A27" s="35">
        <v>45683.0</v>
      </c>
      <c r="B27" s="4">
        <v>39505.0</v>
      </c>
      <c r="C27" s="4">
        <v>399.0</v>
      </c>
      <c r="D27" s="36">
        <v>454.0</v>
      </c>
      <c r="E27" s="4">
        <v>7.0</v>
      </c>
      <c r="F27" s="36">
        <v>1114.0</v>
      </c>
      <c r="G27" s="4">
        <v>0.010099987343374256</v>
      </c>
      <c r="H27" s="4">
        <v>0.017543859649122806</v>
      </c>
      <c r="I27" s="4">
        <v>11.492216175167702</v>
      </c>
      <c r="J27" s="4">
        <v>1.137844611528822</v>
      </c>
      <c r="K27" s="4">
        <v>159.14285714285714</v>
      </c>
      <c r="L27" s="4">
        <v>2.4537444933920707</v>
      </c>
    </row>
    <row r="28">
      <c r="A28" s="35">
        <v>45684.0</v>
      </c>
      <c r="B28" s="4">
        <v>35645.0</v>
      </c>
      <c r="C28" s="4">
        <v>443.0</v>
      </c>
      <c r="D28" s="36">
        <v>593.0</v>
      </c>
      <c r="E28" s="4">
        <v>8.0</v>
      </c>
      <c r="F28" s="36">
        <v>1750.0</v>
      </c>
      <c r="G28" s="4">
        <v>0.012428110534436808</v>
      </c>
      <c r="H28" s="4">
        <v>0.01805869074492099</v>
      </c>
      <c r="I28" s="4">
        <v>16.63627437228223</v>
      </c>
      <c r="J28" s="4">
        <v>1.3386004514672687</v>
      </c>
      <c r="K28" s="4">
        <v>218.75</v>
      </c>
      <c r="L28" s="4">
        <v>2.9510961214165263</v>
      </c>
    </row>
    <row r="29">
      <c r="A29" s="35">
        <v>45685.0</v>
      </c>
      <c r="B29" s="4">
        <v>77867.0</v>
      </c>
      <c r="C29" s="4">
        <v>981.0</v>
      </c>
      <c r="D29" s="36">
        <v>1055.0</v>
      </c>
      <c r="E29" s="4">
        <v>23.0</v>
      </c>
      <c r="F29" s="36">
        <v>4255.0</v>
      </c>
      <c r="G29" s="4">
        <v>0.012598404972581453</v>
      </c>
      <c r="H29" s="4">
        <v>0.023445463812436288</v>
      </c>
      <c r="I29" s="4">
        <v>13.548743370105436</v>
      </c>
      <c r="J29" s="4">
        <v>1.0754332313965342</v>
      </c>
      <c r="K29" s="4">
        <v>185.0</v>
      </c>
      <c r="L29" s="4">
        <v>4.033175355450237</v>
      </c>
    </row>
    <row r="30">
      <c r="A30" s="35">
        <v>45686.0</v>
      </c>
      <c r="B30" s="4">
        <v>40913.0</v>
      </c>
      <c r="C30" s="4">
        <v>929.0</v>
      </c>
      <c r="D30" s="36">
        <v>669.0</v>
      </c>
      <c r="E30" s="4">
        <v>17.0</v>
      </c>
      <c r="F30" s="36">
        <v>3399.0</v>
      </c>
      <c r="G30" s="4">
        <v>0.02270671913572703</v>
      </c>
      <c r="H30" s="4">
        <v>0.01829924650161464</v>
      </c>
      <c r="I30" s="4">
        <v>16.35177083078728</v>
      </c>
      <c r="J30" s="4">
        <v>0.7201291711517761</v>
      </c>
      <c r="K30" s="4">
        <v>199.94117647058823</v>
      </c>
      <c r="L30" s="4">
        <v>5.0807174887892375</v>
      </c>
    </row>
    <row r="31">
      <c r="A31" s="35">
        <v>45687.0</v>
      </c>
      <c r="B31" s="4">
        <v>64428.0</v>
      </c>
      <c r="C31" s="4">
        <v>2025.0</v>
      </c>
      <c r="D31" s="36">
        <v>1969.0</v>
      </c>
      <c r="E31" s="4">
        <v>30.0</v>
      </c>
      <c r="F31" s="36">
        <v>4442.0</v>
      </c>
      <c r="G31" s="4">
        <v>0.03143043397280686</v>
      </c>
      <c r="H31" s="4">
        <v>0.014814814814814815</v>
      </c>
      <c r="I31" s="4">
        <v>30.561246662941578</v>
      </c>
      <c r="J31" s="4">
        <v>0.9723456790123457</v>
      </c>
      <c r="K31" s="4">
        <v>148.06666666666666</v>
      </c>
      <c r="L31" s="4">
        <v>2.25596749619096</v>
      </c>
    </row>
    <row r="32">
      <c r="A32" s="35">
        <v>45688.0</v>
      </c>
      <c r="B32" s="4">
        <v>93925.0</v>
      </c>
      <c r="C32" s="4">
        <v>1932.0</v>
      </c>
      <c r="D32" s="36">
        <v>2165.0</v>
      </c>
      <c r="E32" s="4">
        <v>36.0</v>
      </c>
      <c r="F32" s="36">
        <v>6059.0</v>
      </c>
      <c r="G32" s="4">
        <v>0.020569603406973648</v>
      </c>
      <c r="H32" s="4">
        <v>0.018633540372670808</v>
      </c>
      <c r="I32" s="4">
        <v>23.050306095288793</v>
      </c>
      <c r="J32" s="4">
        <v>1.120600414078675</v>
      </c>
      <c r="K32" s="4">
        <v>168.30555555555554</v>
      </c>
      <c r="L32" s="4">
        <v>2.7986143187066976</v>
      </c>
    </row>
    <row r="33">
      <c r="A33" s="35">
        <v>45689.0</v>
      </c>
      <c r="B33" s="4">
        <v>115794.0</v>
      </c>
      <c r="C33" s="4">
        <v>3255.0</v>
      </c>
      <c r="D33" s="36">
        <v>2584.0</v>
      </c>
      <c r="E33" s="4">
        <v>61.0</v>
      </c>
      <c r="F33" s="36">
        <v>9359.0</v>
      </c>
      <c r="G33" s="4">
        <v>0.02811026478055858</v>
      </c>
      <c r="H33" s="4">
        <v>0.018740399385560675</v>
      </c>
      <c r="I33" s="4">
        <v>22.31549130352177</v>
      </c>
      <c r="J33" s="4">
        <v>0.7938556067588326</v>
      </c>
      <c r="K33" s="4">
        <v>153.4262295081967</v>
      </c>
      <c r="L33" s="4">
        <v>3.621904024767802</v>
      </c>
    </row>
    <row r="34">
      <c r="A34" s="35">
        <v>45690.0</v>
      </c>
      <c r="B34" s="4">
        <v>39694.0</v>
      </c>
      <c r="C34" s="4">
        <v>514.0</v>
      </c>
      <c r="D34" s="36">
        <v>662.0</v>
      </c>
      <c r="E34" s="4">
        <v>9.0</v>
      </c>
      <c r="F34" s="36">
        <v>2087.0</v>
      </c>
      <c r="G34" s="4">
        <v>0.012949060311382073</v>
      </c>
      <c r="H34" s="4">
        <v>0.017509727626459144</v>
      </c>
      <c r="I34" s="4">
        <v>16.677583513881192</v>
      </c>
      <c r="J34" s="4">
        <v>1.2879377431906616</v>
      </c>
      <c r="K34" s="4">
        <v>231.88888888888889</v>
      </c>
      <c r="L34" s="4">
        <v>3.1525679758308156</v>
      </c>
    </row>
    <row r="35">
      <c r="A35" s="35">
        <v>45691.0</v>
      </c>
      <c r="B35" s="4">
        <v>37397.0</v>
      </c>
      <c r="C35" s="4">
        <v>807.0</v>
      </c>
      <c r="D35" s="36">
        <v>629.0</v>
      </c>
      <c r="E35" s="4">
        <v>17.0</v>
      </c>
      <c r="F35" s="36">
        <v>2780.0</v>
      </c>
      <c r="G35" s="4">
        <v>0.021579271064523894</v>
      </c>
      <c r="H35" s="4">
        <v>0.021065675340768277</v>
      </c>
      <c r="I35" s="4">
        <v>16.81953097842073</v>
      </c>
      <c r="J35" s="4">
        <v>0.7794299876084263</v>
      </c>
      <c r="K35" s="4">
        <v>163.52941176470588</v>
      </c>
      <c r="L35" s="4">
        <v>4.419713831478537</v>
      </c>
    </row>
    <row r="36">
      <c r="A36" s="35">
        <v>45692.0</v>
      </c>
      <c r="B36" s="4">
        <v>23589.0</v>
      </c>
      <c r="C36" s="4">
        <v>480.0</v>
      </c>
      <c r="D36" s="36">
        <v>401.0</v>
      </c>
      <c r="E36" s="4">
        <v>8.0</v>
      </c>
      <c r="F36" s="36">
        <v>1138.0</v>
      </c>
      <c r="G36" s="4">
        <v>0.02034846750604095</v>
      </c>
      <c r="H36" s="4">
        <v>0.016666666666666666</v>
      </c>
      <c r="I36" s="4">
        <v>16.999448895671712</v>
      </c>
      <c r="J36" s="4">
        <v>0.8354166666666667</v>
      </c>
      <c r="K36" s="4">
        <v>142.25</v>
      </c>
      <c r="L36" s="4">
        <v>2.837905236907731</v>
      </c>
    </row>
    <row r="37">
      <c r="A37" s="35">
        <v>45693.0</v>
      </c>
      <c r="B37" s="4">
        <v>92100.0</v>
      </c>
      <c r="C37" s="4">
        <v>2462.0</v>
      </c>
      <c r="D37" s="36">
        <v>2909.0</v>
      </c>
      <c r="E37" s="4">
        <v>43.0</v>
      </c>
      <c r="F37" s="36">
        <v>8356.0</v>
      </c>
      <c r="G37" s="4">
        <v>0.026731813246471225</v>
      </c>
      <c r="H37" s="4">
        <v>0.017465475223395612</v>
      </c>
      <c r="I37" s="4">
        <v>31.58523344191096</v>
      </c>
      <c r="J37" s="4">
        <v>1.1815597075548334</v>
      </c>
      <c r="K37" s="4">
        <v>194.32558139534885</v>
      </c>
      <c r="L37" s="4">
        <v>2.872464764523891</v>
      </c>
    </row>
    <row r="38">
      <c r="A38" s="35">
        <v>45694.0</v>
      </c>
      <c r="B38" s="4">
        <v>93317.0</v>
      </c>
      <c r="C38" s="4">
        <v>1307.0</v>
      </c>
      <c r="D38" s="36">
        <v>1032.0</v>
      </c>
      <c r="E38" s="4">
        <v>23.0</v>
      </c>
      <c r="F38" s="36">
        <v>3098.0</v>
      </c>
      <c r="G38" s="4">
        <v>0.014006022482505867</v>
      </c>
      <c r="H38" s="4">
        <v>0.017597551644988524</v>
      </c>
      <c r="I38" s="4">
        <v>11.059078195827126</v>
      </c>
      <c r="J38" s="4">
        <v>0.7895944912012242</v>
      </c>
      <c r="K38" s="4">
        <v>134.69565217391303</v>
      </c>
      <c r="L38" s="4">
        <v>3.001937984496124</v>
      </c>
    </row>
    <row r="39">
      <c r="A39" s="35">
        <v>45695.0</v>
      </c>
      <c r="B39" s="4">
        <v>105397.0</v>
      </c>
      <c r="C39" s="4">
        <v>2964.0</v>
      </c>
      <c r="D39" s="36">
        <v>2764.0</v>
      </c>
      <c r="E39" s="4">
        <v>50.0</v>
      </c>
      <c r="F39" s="36">
        <v>7707.0</v>
      </c>
      <c r="G39" s="4">
        <v>0.028122242568574058</v>
      </c>
      <c r="H39" s="4">
        <v>0.016869095816464237</v>
      </c>
      <c r="I39" s="4">
        <v>26.22465535072156</v>
      </c>
      <c r="J39" s="4">
        <v>0.9325236167341431</v>
      </c>
      <c r="K39" s="4">
        <v>154.14</v>
      </c>
      <c r="L39" s="4">
        <v>2.7883502170767005</v>
      </c>
    </row>
    <row r="40">
      <c r="A40" s="35">
        <v>45696.0</v>
      </c>
      <c r="B40" s="4">
        <v>83825.0</v>
      </c>
      <c r="C40" s="4">
        <v>1171.0</v>
      </c>
      <c r="D40" s="36">
        <v>821.0</v>
      </c>
      <c r="E40" s="4">
        <v>21.0</v>
      </c>
      <c r="F40" s="36">
        <v>3938.0</v>
      </c>
      <c r="G40" s="4">
        <v>0.013969579481061735</v>
      </c>
      <c r="H40" s="4">
        <v>0.017933390264730998</v>
      </c>
      <c r="I40" s="4">
        <v>9.794214136594094</v>
      </c>
      <c r="J40" s="4">
        <v>0.7011101622544833</v>
      </c>
      <c r="K40" s="4">
        <v>187.52380952380952</v>
      </c>
      <c r="L40" s="4">
        <v>4.79658952496955</v>
      </c>
    </row>
    <row r="41">
      <c r="A41" s="35">
        <v>45697.0</v>
      </c>
      <c r="B41" s="4">
        <v>75195.0</v>
      </c>
      <c r="C41" s="4">
        <v>1865.0</v>
      </c>
      <c r="D41" s="36">
        <v>2223.0</v>
      </c>
      <c r="E41" s="4">
        <v>27.0</v>
      </c>
      <c r="F41" s="36">
        <v>3073.0</v>
      </c>
      <c r="G41" s="4">
        <v>0.024802180996076867</v>
      </c>
      <c r="H41" s="4">
        <v>0.014477211796246649</v>
      </c>
      <c r="I41" s="4">
        <v>29.563135846798325</v>
      </c>
      <c r="J41" s="4">
        <v>1.1919571045576407</v>
      </c>
      <c r="K41" s="4">
        <v>113.81481481481481</v>
      </c>
      <c r="L41" s="4">
        <v>1.382366171839856</v>
      </c>
    </row>
    <row r="42">
      <c r="A42" s="35">
        <v>45698.0</v>
      </c>
      <c r="B42" s="4">
        <v>50744.0</v>
      </c>
      <c r="C42" s="4">
        <v>1266.0</v>
      </c>
      <c r="D42" s="36">
        <v>1055.0</v>
      </c>
      <c r="E42" s="4">
        <v>32.0</v>
      </c>
      <c r="F42" s="36">
        <v>7428.0</v>
      </c>
      <c r="G42" s="4">
        <v>0.02494876241526092</v>
      </c>
      <c r="H42" s="4">
        <v>0.02527646129541864</v>
      </c>
      <c r="I42" s="4">
        <v>20.790635346050767</v>
      </c>
      <c r="J42" s="4">
        <v>0.8333333333333334</v>
      </c>
      <c r="K42" s="4">
        <v>232.125</v>
      </c>
      <c r="L42" s="4">
        <v>7.040758293838863</v>
      </c>
    </row>
    <row r="43">
      <c r="A43" s="35">
        <v>45699.0</v>
      </c>
      <c r="B43" s="4">
        <v>86190.0</v>
      </c>
      <c r="C43" s="4">
        <v>2396.0</v>
      </c>
      <c r="D43" s="36">
        <v>1604.0</v>
      </c>
      <c r="E43" s="4">
        <v>36.0</v>
      </c>
      <c r="F43" s="36">
        <v>6894.0</v>
      </c>
      <c r="G43" s="4">
        <v>0.027799048613528252</v>
      </c>
      <c r="H43" s="4">
        <v>0.015025041736227046</v>
      </c>
      <c r="I43" s="4">
        <v>18.610047569323587</v>
      </c>
      <c r="J43" s="4">
        <v>0.669449081803005</v>
      </c>
      <c r="K43" s="4">
        <v>191.5</v>
      </c>
      <c r="L43" s="4">
        <v>4.298004987531172</v>
      </c>
    </row>
    <row r="44">
      <c r="A44" s="35">
        <v>45700.0</v>
      </c>
      <c r="B44" s="4">
        <v>102631.0</v>
      </c>
      <c r="C44" s="4">
        <v>2023.0</v>
      </c>
      <c r="D44" s="36">
        <v>1562.0</v>
      </c>
      <c r="E44" s="4">
        <v>32.0</v>
      </c>
      <c r="F44" s="36">
        <v>5628.0</v>
      </c>
      <c r="G44" s="4">
        <v>0.01971139324375676</v>
      </c>
      <c r="H44" s="4">
        <v>0.015818091942659415</v>
      </c>
      <c r="I44" s="4">
        <v>15.219573033488906</v>
      </c>
      <c r="J44" s="4">
        <v>0.7721206129510628</v>
      </c>
      <c r="K44" s="4">
        <v>175.875</v>
      </c>
      <c r="L44" s="4">
        <v>3.6030729833546733</v>
      </c>
    </row>
    <row r="45">
      <c r="A45" s="35">
        <v>45701.0</v>
      </c>
      <c r="B45" s="4">
        <v>38591.0</v>
      </c>
      <c r="C45" s="4">
        <v>617.0</v>
      </c>
      <c r="D45" s="36">
        <v>672.0</v>
      </c>
      <c r="E45" s="4">
        <v>16.0</v>
      </c>
      <c r="F45" s="36">
        <v>2378.0</v>
      </c>
      <c r="G45" s="4">
        <v>0.015988183773418672</v>
      </c>
      <c r="H45" s="4">
        <v>0.02593192868719611</v>
      </c>
      <c r="I45" s="4">
        <v>17.413386540903318</v>
      </c>
      <c r="J45" s="4">
        <v>1.0891410048622365</v>
      </c>
      <c r="K45" s="4">
        <v>148.625</v>
      </c>
      <c r="L45" s="4">
        <v>3.5386904761904763</v>
      </c>
    </row>
    <row r="46">
      <c r="A46" s="35">
        <v>45702.0</v>
      </c>
      <c r="B46" s="4">
        <v>105603.0</v>
      </c>
      <c r="C46" s="4">
        <v>2186.0</v>
      </c>
      <c r="D46" s="36">
        <v>2095.0</v>
      </c>
      <c r="E46" s="4">
        <v>50.0</v>
      </c>
      <c r="F46" s="36">
        <v>7996.0</v>
      </c>
      <c r="G46" s="4">
        <v>0.020700169502760338</v>
      </c>
      <c r="H46" s="4">
        <v>0.022872827081427266</v>
      </c>
      <c r="I46" s="4">
        <v>19.838451559141312</v>
      </c>
      <c r="J46" s="4">
        <v>0.9583714547118024</v>
      </c>
      <c r="K46" s="4">
        <v>159.92</v>
      </c>
      <c r="L46" s="4">
        <v>3.816706443914081</v>
      </c>
    </row>
    <row r="47">
      <c r="A47" s="35">
        <v>45703.0</v>
      </c>
      <c r="B47" s="4">
        <v>86755.0</v>
      </c>
      <c r="C47" s="4">
        <v>2521.0</v>
      </c>
      <c r="D47" s="36">
        <v>2970.0</v>
      </c>
      <c r="E47" s="4">
        <v>29.0</v>
      </c>
      <c r="F47" s="36">
        <v>5816.0</v>
      </c>
      <c r="G47" s="4">
        <v>0.02905884387067028</v>
      </c>
      <c r="H47" s="4">
        <v>0.011503371677905593</v>
      </c>
      <c r="I47" s="4">
        <v>34.23433807849691</v>
      </c>
      <c r="J47" s="4">
        <v>1.17810392701309</v>
      </c>
      <c r="K47" s="4">
        <v>200.55172413793105</v>
      </c>
      <c r="L47" s="4">
        <v>1.9582491582491584</v>
      </c>
    </row>
    <row r="48">
      <c r="A48" s="35">
        <v>45704.0</v>
      </c>
      <c r="B48" s="4">
        <v>24397.0</v>
      </c>
      <c r="C48" s="4">
        <v>250.0</v>
      </c>
      <c r="D48" s="36">
        <v>258.0</v>
      </c>
      <c r="E48" s="4">
        <v>5.0</v>
      </c>
      <c r="F48" s="36">
        <v>827.0</v>
      </c>
      <c r="G48" s="4">
        <v>0.010247161536254457</v>
      </c>
      <c r="H48" s="4">
        <v>0.02</v>
      </c>
      <c r="I48" s="4">
        <v>10.5750707054146</v>
      </c>
      <c r="J48" s="4">
        <v>1.032</v>
      </c>
      <c r="K48" s="4">
        <v>165.4</v>
      </c>
      <c r="L48" s="4">
        <v>3.205426356589147</v>
      </c>
    </row>
    <row r="49">
      <c r="A49" s="35">
        <v>45705.0</v>
      </c>
      <c r="B49" s="4">
        <v>22719.0</v>
      </c>
      <c r="C49" s="4">
        <v>217.0</v>
      </c>
      <c r="D49" s="36">
        <v>276.0</v>
      </c>
      <c r="E49" s="4">
        <v>3.0</v>
      </c>
      <c r="F49" s="36">
        <v>826.0</v>
      </c>
      <c r="G49" s="4">
        <v>0.009551476737532462</v>
      </c>
      <c r="H49" s="4">
        <v>0.013824884792626729</v>
      </c>
      <c r="I49" s="4">
        <v>12.148422025617325</v>
      </c>
      <c r="J49" s="4">
        <v>1.271889400921659</v>
      </c>
      <c r="K49" s="4">
        <v>275.3333333333333</v>
      </c>
      <c r="L49" s="4">
        <v>2.9927536231884058</v>
      </c>
    </row>
    <row r="50">
      <c r="A50" s="35">
        <v>45706.0</v>
      </c>
      <c r="B50" s="4">
        <v>68469.0</v>
      </c>
      <c r="C50" s="4">
        <v>921.0</v>
      </c>
      <c r="D50" s="36">
        <v>1026.0</v>
      </c>
      <c r="E50" s="4">
        <v>11.0</v>
      </c>
      <c r="F50" s="36">
        <v>2197.0</v>
      </c>
      <c r="G50" s="4">
        <v>0.013451342943521885</v>
      </c>
      <c r="H50" s="4">
        <v>0.011943539630836048</v>
      </c>
      <c r="I50" s="4">
        <v>14.984883669982036</v>
      </c>
      <c r="J50" s="4">
        <v>1.1140065146579805</v>
      </c>
      <c r="K50" s="4">
        <v>199.72727272727272</v>
      </c>
      <c r="L50" s="4">
        <v>2.141325536062378</v>
      </c>
    </row>
    <row r="51">
      <c r="A51" s="35">
        <v>45707.0</v>
      </c>
      <c r="B51" s="4">
        <v>35741.0</v>
      </c>
      <c r="C51" s="4">
        <v>784.0</v>
      </c>
      <c r="D51" s="36">
        <v>991.0</v>
      </c>
      <c r="E51" s="4">
        <v>12.0</v>
      </c>
      <c r="F51" s="36">
        <v>1610.0</v>
      </c>
      <c r="G51" s="4">
        <v>0.021935592177051565</v>
      </c>
      <c r="H51" s="4">
        <v>0.015306122448979591</v>
      </c>
      <c r="I51" s="4">
        <v>27.727260009512882</v>
      </c>
      <c r="J51" s="4">
        <v>1.2640306122448979</v>
      </c>
      <c r="K51" s="4">
        <v>134.16666666666666</v>
      </c>
      <c r="L51" s="4">
        <v>1.6246215943491422</v>
      </c>
    </row>
    <row r="52">
      <c r="A52" s="35">
        <v>45708.0</v>
      </c>
      <c r="B52" s="4">
        <v>92642.0</v>
      </c>
      <c r="C52" s="4">
        <v>1666.0</v>
      </c>
      <c r="D52" s="36">
        <v>1765.0</v>
      </c>
      <c r="E52" s="4">
        <v>38.0</v>
      </c>
      <c r="F52" s="36">
        <v>5719.0</v>
      </c>
      <c r="G52" s="4">
        <v>0.017983204162259018</v>
      </c>
      <c r="H52" s="4">
        <v>0.022809123649459785</v>
      </c>
      <c r="I52" s="4">
        <v>19.051833941408866</v>
      </c>
      <c r="J52" s="4">
        <v>1.059423769507803</v>
      </c>
      <c r="K52" s="4">
        <v>150.5</v>
      </c>
      <c r="L52" s="4">
        <v>3.240226628895184</v>
      </c>
    </row>
    <row r="53">
      <c r="A53" s="35">
        <v>45709.0</v>
      </c>
      <c r="B53" s="4">
        <v>108105.0</v>
      </c>
      <c r="C53" s="4">
        <v>1162.0</v>
      </c>
      <c r="D53" s="36">
        <v>1391.0</v>
      </c>
      <c r="E53" s="4">
        <v>17.0</v>
      </c>
      <c r="F53" s="36">
        <v>1856.0</v>
      </c>
      <c r="G53" s="4">
        <v>0.010748809028259563</v>
      </c>
      <c r="H53" s="4">
        <v>0.014629948364888123</v>
      </c>
      <c r="I53" s="4">
        <v>12.867119929697978</v>
      </c>
      <c r="J53" s="4">
        <v>1.1970740103270223</v>
      </c>
      <c r="K53" s="4">
        <v>109.17647058823529</v>
      </c>
      <c r="L53" s="4">
        <v>1.3342918763479512</v>
      </c>
    </row>
    <row r="54">
      <c r="A54" s="35">
        <v>45710.0</v>
      </c>
      <c r="B54" s="4">
        <v>81877.0</v>
      </c>
      <c r="C54" s="4">
        <v>1214.0</v>
      </c>
      <c r="D54" s="36">
        <v>1223.0</v>
      </c>
      <c r="E54" s="4">
        <v>18.0</v>
      </c>
      <c r="F54" s="36">
        <v>2602.0</v>
      </c>
      <c r="G54" s="4">
        <v>0.014827118726870795</v>
      </c>
      <c r="H54" s="4">
        <v>0.014827018121911038</v>
      </c>
      <c r="I54" s="4">
        <v>14.937039705900313</v>
      </c>
      <c r="J54" s="4">
        <v>1.0074135090609555</v>
      </c>
      <c r="K54" s="4">
        <v>144.55555555555554</v>
      </c>
      <c r="L54" s="4">
        <v>2.12755519215045</v>
      </c>
    </row>
    <row r="55">
      <c r="A55" s="35">
        <v>45711.0</v>
      </c>
      <c r="B55" s="4">
        <v>103967.0</v>
      </c>
      <c r="C55" s="4">
        <v>1170.0</v>
      </c>
      <c r="D55" s="36">
        <v>1098.0</v>
      </c>
      <c r="E55" s="4">
        <v>27.0</v>
      </c>
      <c r="F55" s="36">
        <v>5713.0</v>
      </c>
      <c r="G55" s="4">
        <v>0.01125357084459492</v>
      </c>
      <c r="H55" s="4">
        <v>0.023076923076923078</v>
      </c>
      <c r="I55" s="4">
        <v>10.561043408004462</v>
      </c>
      <c r="J55" s="4">
        <v>0.9384615384615385</v>
      </c>
      <c r="K55" s="4">
        <v>211.59259259259258</v>
      </c>
      <c r="L55" s="4">
        <v>5.203096539162113</v>
      </c>
    </row>
    <row r="56">
      <c r="A56" s="35">
        <v>45712.0</v>
      </c>
      <c r="B56" s="4">
        <v>27443.0</v>
      </c>
      <c r="C56" s="4">
        <v>632.0</v>
      </c>
      <c r="D56" s="36">
        <v>536.0</v>
      </c>
      <c r="E56" s="4">
        <v>7.0</v>
      </c>
      <c r="F56" s="36">
        <v>868.0</v>
      </c>
      <c r="G56" s="4">
        <v>0.023029552162664432</v>
      </c>
      <c r="H56" s="4">
        <v>0.011075949367088608</v>
      </c>
      <c r="I56" s="4">
        <v>19.531392340487557</v>
      </c>
      <c r="J56" s="4">
        <v>0.8481012658227848</v>
      </c>
      <c r="K56" s="4">
        <v>124.0</v>
      </c>
      <c r="L56" s="4">
        <v>1.6194029850746268</v>
      </c>
    </row>
    <row r="57">
      <c r="A57" s="35">
        <v>45713.0</v>
      </c>
      <c r="B57" s="4">
        <v>66742.0</v>
      </c>
      <c r="C57" s="4">
        <v>1199.0</v>
      </c>
      <c r="D57" s="36">
        <v>765.0</v>
      </c>
      <c r="E57" s="4">
        <v>19.0</v>
      </c>
      <c r="F57" s="36">
        <v>2334.0</v>
      </c>
      <c r="G57" s="4">
        <v>0.017964699889125288</v>
      </c>
      <c r="H57" s="4">
        <v>0.0158465387823186</v>
      </c>
      <c r="I57" s="4">
        <v>11.462047885888945</v>
      </c>
      <c r="J57" s="4">
        <v>0.6380316930775647</v>
      </c>
      <c r="K57" s="4">
        <v>122.84210526315789</v>
      </c>
      <c r="L57" s="4">
        <v>3.0509803921568626</v>
      </c>
    </row>
    <row r="58">
      <c r="A58" s="35">
        <v>45714.0</v>
      </c>
      <c r="B58" s="4">
        <v>94411.0</v>
      </c>
      <c r="C58" s="4">
        <v>2697.0</v>
      </c>
      <c r="D58" s="36">
        <v>2590.0</v>
      </c>
      <c r="E58" s="4">
        <v>44.0</v>
      </c>
      <c r="F58" s="36">
        <v>6715.0</v>
      </c>
      <c r="G58" s="4">
        <v>0.028566586520638485</v>
      </c>
      <c r="H58" s="4">
        <v>0.016314423433444566</v>
      </c>
      <c r="I58" s="4">
        <v>27.433244007583863</v>
      </c>
      <c r="J58" s="4">
        <v>0.9603262884686689</v>
      </c>
      <c r="K58" s="4">
        <v>152.61363636363637</v>
      </c>
      <c r="L58" s="4">
        <v>2.5926640926640925</v>
      </c>
    </row>
    <row r="59">
      <c r="A59" s="35">
        <v>45715.0</v>
      </c>
      <c r="B59" s="4">
        <v>59457.0</v>
      </c>
      <c r="C59" s="4">
        <v>1760.0</v>
      </c>
      <c r="D59" s="36">
        <v>1808.0</v>
      </c>
      <c r="E59" s="4">
        <v>18.0</v>
      </c>
      <c r="F59" s="36">
        <v>3936.0</v>
      </c>
      <c r="G59" s="4">
        <v>0.02960122441428259</v>
      </c>
      <c r="H59" s="4">
        <v>0.010227272727272727</v>
      </c>
      <c r="I59" s="4">
        <v>30.408530534672114</v>
      </c>
      <c r="J59" s="4">
        <v>1.0272727272727273</v>
      </c>
      <c r="K59" s="4">
        <v>218.66666666666666</v>
      </c>
      <c r="L59" s="4">
        <v>2.1769911504424777</v>
      </c>
    </row>
    <row r="60">
      <c r="A60" s="35">
        <v>45716.0</v>
      </c>
      <c r="B60" s="4">
        <v>26211.0</v>
      </c>
      <c r="C60" s="4">
        <v>208.0</v>
      </c>
      <c r="D60" s="36">
        <v>214.0</v>
      </c>
      <c r="E60" s="4">
        <v>2.0</v>
      </c>
      <c r="F60" s="36">
        <v>451.0</v>
      </c>
      <c r="G60" s="4">
        <v>0.007935599557437717</v>
      </c>
      <c r="H60" s="4">
        <v>0.009615384615384616</v>
      </c>
      <c r="I60" s="4">
        <v>8.164511083133036</v>
      </c>
      <c r="J60" s="4">
        <v>1.0288461538461537</v>
      </c>
      <c r="K60" s="4">
        <v>225.5</v>
      </c>
      <c r="L60" s="4">
        <v>2.107476635514019</v>
      </c>
    </row>
    <row r="61">
      <c r="A61" s="35">
        <v>45717.0</v>
      </c>
      <c r="B61" s="4">
        <v>85553.0</v>
      </c>
      <c r="C61" s="4">
        <v>1511.0</v>
      </c>
      <c r="D61" s="36">
        <v>1327.0</v>
      </c>
      <c r="E61" s="4">
        <v>37.0</v>
      </c>
      <c r="F61" s="36">
        <v>5908.0</v>
      </c>
      <c r="G61" s="4">
        <v>0.017661566514324455</v>
      </c>
      <c r="H61" s="4">
        <v>0.024487094639311716</v>
      </c>
      <c r="I61" s="4">
        <v>15.510852921580774</v>
      </c>
      <c r="J61" s="4">
        <v>0.8782263401720715</v>
      </c>
      <c r="K61" s="4">
        <v>159.67567567567568</v>
      </c>
      <c r="L61" s="4">
        <v>4.452147701582517</v>
      </c>
    </row>
    <row r="62">
      <c r="A62" s="35">
        <v>45718.0</v>
      </c>
      <c r="B62" s="4">
        <v>54557.0</v>
      </c>
      <c r="C62" s="4">
        <v>1540.0</v>
      </c>
      <c r="D62" s="36">
        <v>1786.0</v>
      </c>
      <c r="E62" s="4">
        <v>29.0</v>
      </c>
      <c r="F62" s="36">
        <v>4767.0</v>
      </c>
      <c r="G62" s="4">
        <v>0.02822735854244185</v>
      </c>
      <c r="H62" s="4">
        <v>0.01883116883116883</v>
      </c>
      <c r="I62" s="4">
        <v>32.73640412779295</v>
      </c>
      <c r="J62" s="4">
        <v>1.1597402597402597</v>
      </c>
      <c r="K62" s="4">
        <v>164.3793103448276</v>
      </c>
      <c r="L62" s="4">
        <v>2.6690929451287793</v>
      </c>
    </row>
    <row r="63">
      <c r="A63" s="35">
        <v>45719.0</v>
      </c>
      <c r="B63" s="4">
        <v>33309.0</v>
      </c>
      <c r="C63" s="4">
        <v>657.0</v>
      </c>
      <c r="D63" s="36">
        <v>604.0</v>
      </c>
      <c r="E63" s="4">
        <v>16.0</v>
      </c>
      <c r="F63" s="36">
        <v>3225.0</v>
      </c>
      <c r="G63" s="4">
        <v>0.019724398811132127</v>
      </c>
      <c r="H63" s="4">
        <v>0.0243531202435312</v>
      </c>
      <c r="I63" s="4">
        <v>18.133237263202137</v>
      </c>
      <c r="J63" s="4">
        <v>0.9193302891933028</v>
      </c>
      <c r="K63" s="4">
        <v>201.5625</v>
      </c>
      <c r="L63" s="4">
        <v>5.339403973509934</v>
      </c>
    </row>
    <row r="64">
      <c r="A64" s="35">
        <v>45720.0</v>
      </c>
      <c r="B64" s="4">
        <v>41657.0</v>
      </c>
      <c r="C64" s="4">
        <v>661.0</v>
      </c>
      <c r="D64" s="36">
        <v>637.0</v>
      </c>
      <c r="E64" s="4">
        <v>12.0</v>
      </c>
      <c r="F64" s="36">
        <v>2391.0</v>
      </c>
      <c r="G64" s="4">
        <v>0.01586768130206208</v>
      </c>
      <c r="H64" s="4">
        <v>0.018154311649016642</v>
      </c>
      <c r="I64" s="4">
        <v>15.29154763905226</v>
      </c>
      <c r="J64" s="4">
        <v>0.9636913767019667</v>
      </c>
      <c r="K64" s="4">
        <v>199.25</v>
      </c>
      <c r="L64" s="4">
        <v>3.7535321821036107</v>
      </c>
    </row>
    <row r="65">
      <c r="A65" s="35">
        <v>45721.0</v>
      </c>
      <c r="B65" s="4">
        <v>68691.0</v>
      </c>
      <c r="C65" s="4">
        <v>1756.0</v>
      </c>
      <c r="D65" s="36">
        <v>1700.0</v>
      </c>
      <c r="E65" s="4">
        <v>37.0</v>
      </c>
      <c r="F65" s="36">
        <v>4394.0</v>
      </c>
      <c r="G65" s="4">
        <v>0.025563756532879126</v>
      </c>
      <c r="H65" s="4">
        <v>0.021070615034168565</v>
      </c>
      <c r="I65" s="4">
        <v>24.748511449826033</v>
      </c>
      <c r="J65" s="4">
        <v>0.9681093394077449</v>
      </c>
      <c r="K65" s="4">
        <v>118.75675675675676</v>
      </c>
      <c r="L65" s="4">
        <v>2.584705882352941</v>
      </c>
    </row>
    <row r="66">
      <c r="A66" s="35">
        <v>45722.0</v>
      </c>
      <c r="B66" s="4">
        <v>65226.0</v>
      </c>
      <c r="C66" s="4">
        <v>1583.0</v>
      </c>
      <c r="D66" s="36">
        <v>1268.0</v>
      </c>
      <c r="E66" s="4">
        <v>25.0</v>
      </c>
      <c r="F66" s="36">
        <v>4588.0</v>
      </c>
      <c r="G66" s="4">
        <v>0.024269463097537792</v>
      </c>
      <c r="H66" s="4">
        <v>0.015792798483891344</v>
      </c>
      <c r="I66" s="4">
        <v>19.44010057339098</v>
      </c>
      <c r="J66" s="4">
        <v>0.801010739102969</v>
      </c>
      <c r="K66" s="4">
        <v>183.52</v>
      </c>
      <c r="L66" s="4">
        <v>3.6182965299684544</v>
      </c>
    </row>
    <row r="67">
      <c r="A67" s="35">
        <v>45723.0</v>
      </c>
      <c r="B67" s="4">
        <v>35908.0</v>
      </c>
      <c r="C67" s="4">
        <v>770.0</v>
      </c>
      <c r="D67" s="36">
        <v>522.0</v>
      </c>
      <c r="E67" s="4">
        <v>13.0</v>
      </c>
      <c r="F67" s="36">
        <v>1516.0</v>
      </c>
      <c r="G67" s="4">
        <v>0.0214436894285396</v>
      </c>
      <c r="H67" s="4">
        <v>0.016883116883116882</v>
      </c>
      <c r="I67" s="4">
        <v>14.537150495711263</v>
      </c>
      <c r="J67" s="4">
        <v>0.6779220779220779</v>
      </c>
      <c r="K67" s="4">
        <v>116.61538461538461</v>
      </c>
      <c r="L67" s="4">
        <v>2.9042145593869733</v>
      </c>
    </row>
    <row r="68">
      <c r="A68" s="35">
        <v>45724.0</v>
      </c>
      <c r="B68" s="4">
        <v>90050.0</v>
      </c>
      <c r="C68" s="4">
        <v>2615.0</v>
      </c>
      <c r="D68" s="36">
        <v>1567.0</v>
      </c>
      <c r="E68" s="4">
        <v>53.0</v>
      </c>
      <c r="F68" s="36">
        <v>5792.0</v>
      </c>
      <c r="G68" s="4">
        <v>0.02903942254303165</v>
      </c>
      <c r="H68" s="4">
        <v>0.02026768642447419</v>
      </c>
      <c r="I68" s="4">
        <v>17.401443642420876</v>
      </c>
      <c r="J68" s="4">
        <v>0.5992351816443595</v>
      </c>
      <c r="K68" s="4">
        <v>109.28301886792453</v>
      </c>
      <c r="L68" s="4">
        <v>3.696234843650287</v>
      </c>
    </row>
    <row r="69">
      <c r="A69" s="35">
        <v>45725.0</v>
      </c>
      <c r="B69" s="4">
        <v>82917.0</v>
      </c>
      <c r="C69" s="4">
        <v>2378.0</v>
      </c>
      <c r="D69" s="36">
        <v>2304.0</v>
      </c>
      <c r="E69" s="4">
        <v>54.0</v>
      </c>
      <c r="F69" s="36">
        <v>8599.0</v>
      </c>
      <c r="G69" s="4">
        <v>0.028679281691329883</v>
      </c>
      <c r="H69" s="4">
        <v>0.022708158116063918</v>
      </c>
      <c r="I69" s="4">
        <v>27.78682296754586</v>
      </c>
      <c r="J69" s="4">
        <v>0.9688814129520605</v>
      </c>
      <c r="K69" s="4">
        <v>159.24074074074073</v>
      </c>
      <c r="L69" s="4">
        <v>3.732204861111111</v>
      </c>
    </row>
    <row r="70">
      <c r="A70" s="35">
        <v>45726.0</v>
      </c>
      <c r="B70" s="4">
        <v>90435.0</v>
      </c>
      <c r="C70" s="4">
        <v>2385.0</v>
      </c>
      <c r="D70" s="36">
        <v>2386.0</v>
      </c>
      <c r="E70" s="4">
        <v>51.0</v>
      </c>
      <c r="F70" s="36">
        <v>8951.0</v>
      </c>
      <c r="G70" s="4">
        <v>0.026372532758334715</v>
      </c>
      <c r="H70" s="4">
        <v>0.021383647798742137</v>
      </c>
      <c r="I70" s="4">
        <v>26.38359042406148</v>
      </c>
      <c r="J70" s="4">
        <v>1.0004192872117401</v>
      </c>
      <c r="K70" s="4">
        <v>175.50980392156862</v>
      </c>
      <c r="L70" s="4">
        <v>3.7514668901927912</v>
      </c>
    </row>
    <row r="71">
      <c r="A71" s="35">
        <v>45727.0</v>
      </c>
      <c r="B71" s="4">
        <v>45828.0</v>
      </c>
      <c r="C71" s="4">
        <v>1072.0</v>
      </c>
      <c r="D71" s="36">
        <v>706.0</v>
      </c>
      <c r="E71" s="4">
        <v>12.0</v>
      </c>
      <c r="F71" s="36">
        <v>2348.0</v>
      </c>
      <c r="G71" s="4">
        <v>0.023391812865497075</v>
      </c>
      <c r="H71" s="4">
        <v>0.011194029850746268</v>
      </c>
      <c r="I71" s="4">
        <v>15.405428995374008</v>
      </c>
      <c r="J71" s="4">
        <v>0.6585820895522388</v>
      </c>
      <c r="K71" s="4">
        <v>195.66666666666666</v>
      </c>
      <c r="L71" s="4">
        <v>3.3257790368271953</v>
      </c>
    </row>
    <row r="72">
      <c r="A72" s="35">
        <v>45728.0</v>
      </c>
      <c r="B72" s="4">
        <v>96808.0</v>
      </c>
      <c r="C72" s="4">
        <v>2074.0</v>
      </c>
      <c r="D72" s="36">
        <v>1658.0</v>
      </c>
      <c r="E72" s="4">
        <v>36.0</v>
      </c>
      <c r="F72" s="36">
        <v>6226.0</v>
      </c>
      <c r="G72" s="4">
        <v>0.02142384926865548</v>
      </c>
      <c r="H72" s="4">
        <v>0.017357762777242044</v>
      </c>
      <c r="I72" s="4">
        <v>17.12668374514503</v>
      </c>
      <c r="J72" s="4">
        <v>0.7994214079074252</v>
      </c>
      <c r="K72" s="4">
        <v>172.94444444444446</v>
      </c>
      <c r="L72" s="4">
        <v>3.755126658624849</v>
      </c>
    </row>
    <row r="73">
      <c r="A73" s="35">
        <v>45729.0</v>
      </c>
      <c r="B73" s="4">
        <v>36019.0</v>
      </c>
      <c r="C73" s="4">
        <v>662.0</v>
      </c>
      <c r="D73" s="36">
        <v>540.0</v>
      </c>
      <c r="E73" s="4">
        <v>11.0</v>
      </c>
      <c r="F73" s="36">
        <v>1754.0</v>
      </c>
      <c r="G73" s="4">
        <v>0.018379188761486993</v>
      </c>
      <c r="H73" s="4">
        <v>0.01661631419939577</v>
      </c>
      <c r="I73" s="4">
        <v>14.992087509370053</v>
      </c>
      <c r="J73" s="4">
        <v>0.8157099697885196</v>
      </c>
      <c r="K73" s="4">
        <v>159.45454545454547</v>
      </c>
      <c r="L73" s="4">
        <v>3.248148148148148</v>
      </c>
    </row>
    <row r="74">
      <c r="A74" s="35">
        <v>45730.0</v>
      </c>
      <c r="B74" s="4">
        <v>65734.0</v>
      </c>
      <c r="C74" s="4">
        <v>828.0</v>
      </c>
      <c r="D74" s="36">
        <v>949.0</v>
      </c>
      <c r="E74" s="4">
        <v>11.0</v>
      </c>
      <c r="F74" s="36">
        <v>1161.0</v>
      </c>
      <c r="G74" s="4">
        <v>0.012596221133659902</v>
      </c>
      <c r="H74" s="4">
        <v>0.013285024154589372</v>
      </c>
      <c r="I74" s="4">
        <v>14.436973255849331</v>
      </c>
      <c r="J74" s="4">
        <v>1.146135265700483</v>
      </c>
      <c r="K74" s="4">
        <v>105.54545454545455</v>
      </c>
      <c r="L74" s="4">
        <v>1.2233930453108535</v>
      </c>
    </row>
    <row r="75">
      <c r="A75" s="35">
        <v>45731.0</v>
      </c>
      <c r="B75" s="4">
        <v>34177.0</v>
      </c>
      <c r="C75" s="4">
        <v>381.0</v>
      </c>
      <c r="D75" s="36">
        <v>279.0</v>
      </c>
      <c r="E75" s="4">
        <v>6.0</v>
      </c>
      <c r="F75" s="36">
        <v>1258.0</v>
      </c>
      <c r="G75" s="4">
        <v>0.01114784796793165</v>
      </c>
      <c r="H75" s="4">
        <v>0.015748031496062992</v>
      </c>
      <c r="I75" s="4">
        <v>8.16338473242239</v>
      </c>
      <c r="J75" s="4">
        <v>0.7322834645669292</v>
      </c>
      <c r="K75" s="4">
        <v>209.66666666666666</v>
      </c>
      <c r="L75" s="4">
        <v>4.508960573476703</v>
      </c>
    </row>
    <row r="76">
      <c r="A76" s="35">
        <v>45732.0</v>
      </c>
      <c r="B76" s="4">
        <v>39087.0</v>
      </c>
      <c r="C76" s="4">
        <v>640.0</v>
      </c>
      <c r="D76" s="36">
        <v>744.0</v>
      </c>
      <c r="E76" s="4">
        <v>10.0</v>
      </c>
      <c r="F76" s="36">
        <v>1362.0</v>
      </c>
      <c r="G76" s="4">
        <v>0.016373730396295444</v>
      </c>
      <c r="H76" s="4">
        <v>0.015625</v>
      </c>
      <c r="I76" s="4">
        <v>19.034461585693453</v>
      </c>
      <c r="J76" s="4">
        <v>1.1625</v>
      </c>
      <c r="K76" s="4">
        <v>136.2</v>
      </c>
      <c r="L76" s="4">
        <v>1.8306451612903225</v>
      </c>
    </row>
    <row r="77">
      <c r="A77" s="35">
        <v>45733.0</v>
      </c>
      <c r="B77" s="4">
        <v>66428.0</v>
      </c>
      <c r="C77" s="4">
        <v>1746.0</v>
      </c>
      <c r="D77" s="36">
        <v>2045.0</v>
      </c>
      <c r="E77" s="4">
        <v>44.0</v>
      </c>
      <c r="F77" s="36">
        <v>9133.0</v>
      </c>
      <c r="G77" s="4">
        <v>0.026284097067501656</v>
      </c>
      <c r="H77" s="4">
        <v>0.025200458190148912</v>
      </c>
      <c r="I77" s="4">
        <v>30.785211055578973</v>
      </c>
      <c r="J77" s="4">
        <v>1.1712485681557847</v>
      </c>
      <c r="K77" s="4">
        <v>207.5681818181818</v>
      </c>
      <c r="L77" s="4">
        <v>4.4660146699266505</v>
      </c>
    </row>
    <row r="78">
      <c r="A78" s="35">
        <v>45734.0</v>
      </c>
      <c r="B78" s="4">
        <v>49952.0</v>
      </c>
      <c r="C78" s="4">
        <v>850.0</v>
      </c>
      <c r="D78" s="36">
        <v>897.0</v>
      </c>
      <c r="E78" s="4">
        <v>12.0</v>
      </c>
      <c r="F78" s="36">
        <v>1450.0</v>
      </c>
      <c r="G78" s="4">
        <v>0.017016335682254965</v>
      </c>
      <c r="H78" s="4">
        <v>0.01411764705882353</v>
      </c>
      <c r="I78" s="4">
        <v>17.957238949391417</v>
      </c>
      <c r="J78" s="4">
        <v>1.0552941176470587</v>
      </c>
      <c r="K78" s="4">
        <v>120.83333333333333</v>
      </c>
      <c r="L78" s="4">
        <v>1.6164994425863992</v>
      </c>
    </row>
    <row r="79">
      <c r="A79" s="35">
        <v>45735.0</v>
      </c>
      <c r="B79" s="4">
        <v>38705.0</v>
      </c>
      <c r="C79" s="4">
        <v>706.0</v>
      </c>
      <c r="D79" s="36">
        <v>629.0</v>
      </c>
      <c r="E79" s="4">
        <v>15.0</v>
      </c>
      <c r="F79" s="36">
        <v>3294.0</v>
      </c>
      <c r="G79" s="4">
        <v>0.018240537398268957</v>
      </c>
      <c r="H79" s="4">
        <v>0.021246458923512748</v>
      </c>
      <c r="I79" s="4">
        <v>16.251130344916678</v>
      </c>
      <c r="J79" s="4">
        <v>0.8909348441926346</v>
      </c>
      <c r="K79" s="4">
        <v>219.6</v>
      </c>
      <c r="L79" s="4">
        <v>5.236883942766296</v>
      </c>
    </row>
    <row r="80">
      <c r="A80" s="35">
        <v>45736.0</v>
      </c>
      <c r="B80" s="4">
        <v>104415.0</v>
      </c>
      <c r="C80" s="4">
        <v>1123.0</v>
      </c>
      <c r="D80" s="36">
        <v>1296.0</v>
      </c>
      <c r="E80" s="4">
        <v>25.0</v>
      </c>
      <c r="F80" s="36">
        <v>5154.0</v>
      </c>
      <c r="G80" s="4">
        <v>0.010755159699276923</v>
      </c>
      <c r="H80" s="4">
        <v>0.02226179875333927</v>
      </c>
      <c r="I80" s="4">
        <v>12.41200976871139</v>
      </c>
      <c r="J80" s="4">
        <v>1.1540516473731077</v>
      </c>
      <c r="K80" s="4">
        <v>206.16</v>
      </c>
      <c r="L80" s="4">
        <v>3.9768518518518516</v>
      </c>
    </row>
    <row r="81">
      <c r="A81" s="35">
        <v>45737.0</v>
      </c>
      <c r="B81" s="4">
        <v>45418.0</v>
      </c>
      <c r="C81" s="4">
        <v>877.0</v>
      </c>
      <c r="D81" s="36">
        <v>1060.0</v>
      </c>
      <c r="E81" s="4">
        <v>18.0</v>
      </c>
      <c r="F81" s="36">
        <v>2053.0</v>
      </c>
      <c r="G81" s="4">
        <v>0.01930952485798582</v>
      </c>
      <c r="H81" s="4">
        <v>0.020524515393386546</v>
      </c>
      <c r="I81" s="4">
        <v>23.33876436655071</v>
      </c>
      <c r="J81" s="4">
        <v>1.2086659064994298</v>
      </c>
      <c r="K81" s="4">
        <v>114.05555555555556</v>
      </c>
      <c r="L81" s="4">
        <v>1.9367924528301887</v>
      </c>
    </row>
    <row r="82">
      <c r="A82" s="35">
        <v>45738.0</v>
      </c>
      <c r="B82" s="4">
        <v>43038.0</v>
      </c>
      <c r="C82" s="4">
        <v>1140.0</v>
      </c>
      <c r="D82" s="36">
        <v>1034.0</v>
      </c>
      <c r="E82" s="4">
        <v>18.0</v>
      </c>
      <c r="F82" s="36">
        <v>2734.0</v>
      </c>
      <c r="G82" s="4">
        <v>0.026488219712811935</v>
      </c>
      <c r="H82" s="4">
        <v>0.015789473684210527</v>
      </c>
      <c r="I82" s="4">
        <v>24.02527998512942</v>
      </c>
      <c r="J82" s="4">
        <v>0.9070175438596492</v>
      </c>
      <c r="K82" s="4">
        <v>151.88888888888889</v>
      </c>
      <c r="L82" s="4">
        <v>2.644100580270793</v>
      </c>
    </row>
    <row r="83">
      <c r="A83" s="35">
        <v>45739.0</v>
      </c>
      <c r="B83" s="4">
        <v>112277.0</v>
      </c>
      <c r="C83" s="4">
        <v>2162.0</v>
      </c>
      <c r="D83" s="36">
        <v>1808.0</v>
      </c>
      <c r="E83" s="4">
        <v>36.0</v>
      </c>
      <c r="F83" s="36">
        <v>5134.0</v>
      </c>
      <c r="G83" s="4">
        <v>0.019255947344514013</v>
      </c>
      <c r="H83" s="4">
        <v>0.016651248843663275</v>
      </c>
      <c r="I83" s="4">
        <v>16.10303089679988</v>
      </c>
      <c r="J83" s="4">
        <v>0.8362627197039778</v>
      </c>
      <c r="K83" s="4">
        <v>142.61111111111111</v>
      </c>
      <c r="L83" s="4">
        <v>2.8396017699115044</v>
      </c>
    </row>
    <row r="84">
      <c r="A84" s="35">
        <v>45740.0</v>
      </c>
      <c r="B84" s="4">
        <v>19294.0</v>
      </c>
      <c r="C84" s="4">
        <v>142.0</v>
      </c>
      <c r="D84" s="36">
        <v>167.0</v>
      </c>
      <c r="E84" s="4">
        <v>1.0</v>
      </c>
      <c r="F84" s="36">
        <v>271.0</v>
      </c>
      <c r="G84" s="4">
        <v>0.007359800974396185</v>
      </c>
      <c r="H84" s="4">
        <v>0.007042253521126761</v>
      </c>
      <c r="I84" s="4">
        <v>8.655540582564528</v>
      </c>
      <c r="J84" s="4">
        <v>1.176056338028169</v>
      </c>
      <c r="K84" s="4">
        <v>271.0</v>
      </c>
      <c r="L84" s="4">
        <v>1.622754491017964</v>
      </c>
    </row>
    <row r="85">
      <c r="A85" s="35">
        <v>45741.0</v>
      </c>
      <c r="B85" s="4">
        <v>85477.0</v>
      </c>
      <c r="C85" s="4">
        <v>2285.0</v>
      </c>
      <c r="D85" s="36">
        <v>2603.0</v>
      </c>
      <c r="E85" s="4">
        <v>41.0</v>
      </c>
      <c r="F85" s="36">
        <v>4688.0</v>
      </c>
      <c r="G85" s="4">
        <v>0.026732337353908068</v>
      </c>
      <c r="H85" s="4">
        <v>0.017943107221006564</v>
      </c>
      <c r="I85" s="4">
        <v>30.45263638171672</v>
      </c>
      <c r="J85" s="4">
        <v>1.139168490153173</v>
      </c>
      <c r="K85" s="4">
        <v>114.34146341463415</v>
      </c>
      <c r="L85" s="4">
        <v>1.8009988474836727</v>
      </c>
    </row>
    <row r="86">
      <c r="A86" s="35">
        <v>45742.0</v>
      </c>
      <c r="B86" s="4">
        <v>35785.0</v>
      </c>
      <c r="C86" s="4">
        <v>691.0</v>
      </c>
      <c r="D86" s="36">
        <v>527.0</v>
      </c>
      <c r="E86" s="4">
        <v>15.0</v>
      </c>
      <c r="F86" s="36">
        <v>1920.0</v>
      </c>
      <c r="G86" s="4">
        <v>0.01930976666200922</v>
      </c>
      <c r="H86" s="4">
        <v>0.02170767004341534</v>
      </c>
      <c r="I86" s="4">
        <v>14.726840855106888</v>
      </c>
      <c r="J86" s="4">
        <v>0.7626628075253257</v>
      </c>
      <c r="K86" s="4">
        <v>128.0</v>
      </c>
      <c r="L86" s="4">
        <v>3.6432637571157493</v>
      </c>
    </row>
    <row r="87">
      <c r="A87" s="35">
        <v>45743.0</v>
      </c>
      <c r="B87" s="4">
        <v>91829.0</v>
      </c>
      <c r="C87" s="4">
        <v>1356.0</v>
      </c>
      <c r="D87" s="36">
        <v>1034.0</v>
      </c>
      <c r="E87" s="4">
        <v>26.0</v>
      </c>
      <c r="F87" s="36">
        <v>3449.0</v>
      </c>
      <c r="G87" s="4">
        <v>0.0147665770072635</v>
      </c>
      <c r="H87" s="4">
        <v>0.019174041297935103</v>
      </c>
      <c r="I87" s="4">
        <v>11.260059458341047</v>
      </c>
      <c r="J87" s="4">
        <v>0.7625368731563422</v>
      </c>
      <c r="K87" s="4">
        <v>132.65384615384616</v>
      </c>
      <c r="L87" s="4">
        <v>3.3355899419729207</v>
      </c>
    </row>
    <row r="88">
      <c r="A88" s="35">
        <v>45744.0</v>
      </c>
      <c r="B88" s="4">
        <v>25201.0</v>
      </c>
      <c r="C88" s="4">
        <v>403.0</v>
      </c>
      <c r="D88" s="36">
        <v>331.0</v>
      </c>
      <c r="E88" s="4">
        <v>6.0</v>
      </c>
      <c r="F88" s="36">
        <v>1213.0</v>
      </c>
      <c r="G88" s="4">
        <v>0.015991428911551128</v>
      </c>
      <c r="H88" s="4">
        <v>0.01488833746898263</v>
      </c>
      <c r="I88" s="4">
        <v>13.134399428594103</v>
      </c>
      <c r="J88" s="4">
        <v>0.8213399503722084</v>
      </c>
      <c r="K88" s="4">
        <v>202.16666666666666</v>
      </c>
      <c r="L88" s="4">
        <v>3.6646525679758306</v>
      </c>
    </row>
    <row r="89">
      <c r="A89" s="35">
        <v>45745.0</v>
      </c>
      <c r="B89" s="4">
        <v>83832.0</v>
      </c>
      <c r="C89" s="4">
        <v>2838.0</v>
      </c>
      <c r="D89" s="36">
        <v>3230.0</v>
      </c>
      <c r="E89" s="4">
        <v>42.0</v>
      </c>
      <c r="F89" s="36">
        <v>7423.0</v>
      </c>
      <c r="G89" s="4">
        <v>0.033853421127970226</v>
      </c>
      <c r="H89" s="4">
        <v>0.014799154334038054</v>
      </c>
      <c r="I89" s="4">
        <v>38.52943983204504</v>
      </c>
      <c r="J89" s="4">
        <v>1.138125440451022</v>
      </c>
      <c r="K89" s="4">
        <v>176.73809523809524</v>
      </c>
      <c r="L89" s="4">
        <v>2.2981424148606813</v>
      </c>
    </row>
    <row r="90">
      <c r="A90" s="35">
        <v>45746.0</v>
      </c>
      <c r="B90" s="4">
        <v>65661.0</v>
      </c>
      <c r="C90" s="4">
        <v>969.0</v>
      </c>
      <c r="D90" s="36">
        <v>720.0</v>
      </c>
      <c r="E90" s="4">
        <v>15.0</v>
      </c>
      <c r="F90" s="36">
        <v>1723.0</v>
      </c>
      <c r="G90" s="4">
        <v>0.014757618677753917</v>
      </c>
      <c r="H90" s="4">
        <v>0.015479876160990712</v>
      </c>
      <c r="I90" s="4">
        <v>10.965413259012198</v>
      </c>
      <c r="J90" s="4">
        <v>0.7430340557275542</v>
      </c>
      <c r="K90" s="4">
        <v>114.86666666666666</v>
      </c>
      <c r="L90" s="4">
        <v>2.3930555555555557</v>
      </c>
    </row>
    <row r="91">
      <c r="A91" s="35">
        <v>45747.0</v>
      </c>
      <c r="B91" s="4">
        <v>60497.0</v>
      </c>
      <c r="C91" s="4">
        <v>835.0</v>
      </c>
      <c r="D91" s="36">
        <v>735.0</v>
      </c>
      <c r="E91" s="4">
        <v>18.0</v>
      </c>
      <c r="F91" s="36">
        <v>2162.0</v>
      </c>
      <c r="G91" s="4">
        <v>0.013802337305982114</v>
      </c>
      <c r="H91" s="4">
        <v>0.02155688622754491</v>
      </c>
      <c r="I91" s="4">
        <v>12.149362778319587</v>
      </c>
      <c r="J91" s="4">
        <v>0.8802395209580839</v>
      </c>
      <c r="K91" s="4">
        <v>120.11111111111111</v>
      </c>
      <c r="L91" s="4">
        <v>2.9414965986394557</v>
      </c>
    </row>
    <row r="92">
      <c r="A92" s="35">
        <v>45748.0</v>
      </c>
      <c r="B92" s="4">
        <v>75083.0</v>
      </c>
      <c r="C92" s="4">
        <v>1549.0</v>
      </c>
      <c r="D92" s="36">
        <v>1350.0</v>
      </c>
      <c r="E92" s="4">
        <v>29.0</v>
      </c>
      <c r="F92" s="36">
        <v>3323.0</v>
      </c>
      <c r="G92" s="4">
        <v>0.020630502244183103</v>
      </c>
      <c r="H92" s="4">
        <v>0.01872175597159458</v>
      </c>
      <c r="I92" s="4">
        <v>17.980102020430724</v>
      </c>
      <c r="J92" s="4">
        <v>0.8715300193673338</v>
      </c>
      <c r="K92" s="4">
        <v>114.58620689655173</v>
      </c>
      <c r="L92" s="4">
        <v>2.4614814814814814</v>
      </c>
    </row>
    <row r="93">
      <c r="A93" s="35">
        <v>45749.0</v>
      </c>
      <c r="B93" s="4">
        <v>106776.0</v>
      </c>
      <c r="C93" s="4">
        <v>2376.0</v>
      </c>
      <c r="D93" s="36">
        <v>2466.0</v>
      </c>
      <c r="E93" s="4">
        <v>51.0</v>
      </c>
      <c r="F93" s="36">
        <v>6117.0</v>
      </c>
      <c r="G93" s="4">
        <v>0.022252191503708697</v>
      </c>
      <c r="H93" s="4">
        <v>0.021464646464646464</v>
      </c>
      <c r="I93" s="4">
        <v>23.095077545515846</v>
      </c>
      <c r="J93" s="4">
        <v>1.0378787878787878</v>
      </c>
      <c r="K93" s="4">
        <v>119.94117647058823</v>
      </c>
      <c r="L93" s="4">
        <v>2.480535279805353</v>
      </c>
    </row>
    <row r="94">
      <c r="A94" s="35">
        <v>45750.0</v>
      </c>
      <c r="B94" s="4">
        <v>38478.0</v>
      </c>
      <c r="C94" s="4">
        <v>394.0</v>
      </c>
      <c r="D94" s="36">
        <v>394.0</v>
      </c>
      <c r="E94" s="4">
        <v>7.0</v>
      </c>
      <c r="F94" s="36">
        <v>970.0</v>
      </c>
      <c r="G94" s="4">
        <v>0.010239617443734082</v>
      </c>
      <c r="H94" s="4">
        <v>0.017766497461928935</v>
      </c>
      <c r="I94" s="4">
        <v>10.239617443734081</v>
      </c>
      <c r="J94" s="4">
        <v>1.0</v>
      </c>
      <c r="K94" s="4">
        <v>138.57142857142858</v>
      </c>
      <c r="L94" s="4">
        <v>2.4619289340101522</v>
      </c>
    </row>
    <row r="95">
      <c r="A95" s="35">
        <v>45751.0</v>
      </c>
      <c r="B95" s="4">
        <v>88425.0</v>
      </c>
      <c r="C95" s="4">
        <v>2853.0</v>
      </c>
      <c r="D95" s="36">
        <v>2412.0</v>
      </c>
      <c r="E95" s="4">
        <v>59.0</v>
      </c>
      <c r="F95" s="36">
        <v>8104.0</v>
      </c>
      <c r="G95" s="4">
        <v>0.032264631043257</v>
      </c>
      <c r="H95" s="4">
        <v>0.020679985979670523</v>
      </c>
      <c r="I95" s="4">
        <v>27.27735368956743</v>
      </c>
      <c r="J95" s="4">
        <v>0.8454258675078864</v>
      </c>
      <c r="K95" s="4">
        <v>137.35593220338984</v>
      </c>
      <c r="L95" s="4">
        <v>3.3598673300165838</v>
      </c>
    </row>
    <row r="96">
      <c r="A96" s="35">
        <v>45752.0</v>
      </c>
      <c r="B96" s="4">
        <v>29606.0</v>
      </c>
      <c r="C96" s="4">
        <v>602.0</v>
      </c>
      <c r="D96" s="36">
        <v>564.0</v>
      </c>
      <c r="E96" s="4">
        <v>8.0</v>
      </c>
      <c r="F96" s="36">
        <v>942.0</v>
      </c>
      <c r="G96" s="4">
        <v>0.02033371613862055</v>
      </c>
      <c r="H96" s="4">
        <v>0.013289036544850499</v>
      </c>
      <c r="I96" s="4">
        <v>19.050192528541512</v>
      </c>
      <c r="J96" s="4">
        <v>0.9368770764119602</v>
      </c>
      <c r="K96" s="4">
        <v>117.75</v>
      </c>
      <c r="L96" s="4">
        <v>1.6702127659574468</v>
      </c>
    </row>
    <row r="97">
      <c r="A97" s="35">
        <v>45753.0</v>
      </c>
      <c r="B97" s="4">
        <v>110299.0</v>
      </c>
      <c r="C97" s="4">
        <v>2037.0</v>
      </c>
      <c r="D97" s="36">
        <v>2356.0</v>
      </c>
      <c r="E97" s="4">
        <v>37.0</v>
      </c>
      <c r="F97" s="36">
        <v>6077.0</v>
      </c>
      <c r="G97" s="4">
        <v>0.018467982483975375</v>
      </c>
      <c r="H97" s="4">
        <v>0.018163966617574866</v>
      </c>
      <c r="I97" s="4">
        <v>21.360121125304854</v>
      </c>
      <c r="J97" s="4">
        <v>1.156602847324497</v>
      </c>
      <c r="K97" s="4">
        <v>164.24324324324326</v>
      </c>
      <c r="L97" s="4">
        <v>2.5793718166383703</v>
      </c>
    </row>
    <row r="98">
      <c r="A98" s="35">
        <v>45754.0</v>
      </c>
      <c r="B98" s="4">
        <v>95139.0</v>
      </c>
      <c r="C98" s="4">
        <v>2806.0</v>
      </c>
      <c r="D98" s="36">
        <v>3061.0</v>
      </c>
      <c r="E98" s="4">
        <v>51.0</v>
      </c>
      <c r="F98" s="36">
        <v>7430.0</v>
      </c>
      <c r="G98" s="4">
        <v>0.029493688182553948</v>
      </c>
      <c r="H98" s="4">
        <v>0.018175338560228082</v>
      </c>
      <c r="I98" s="4">
        <v>32.173977023092526</v>
      </c>
      <c r="J98" s="4">
        <v>1.0908766928011404</v>
      </c>
      <c r="K98" s="4">
        <v>145.68627450980392</v>
      </c>
      <c r="L98" s="4">
        <v>2.427311336164652</v>
      </c>
    </row>
    <row r="99">
      <c r="A99" s="35">
        <v>45755.0</v>
      </c>
      <c r="B99" s="4">
        <v>102095.0</v>
      </c>
      <c r="C99" s="4">
        <v>2350.0</v>
      </c>
      <c r="D99" s="36">
        <v>2904.0</v>
      </c>
      <c r="E99" s="4">
        <v>37.0</v>
      </c>
      <c r="F99" s="36">
        <v>6922.0</v>
      </c>
      <c r="G99" s="4">
        <v>0.02301777756011558</v>
      </c>
      <c r="H99" s="4">
        <v>0.01574468085106383</v>
      </c>
      <c r="I99" s="4">
        <v>28.444096184925804</v>
      </c>
      <c r="J99" s="4">
        <v>1.235744680851064</v>
      </c>
      <c r="K99" s="4">
        <v>187.0810810810811</v>
      </c>
      <c r="L99" s="4">
        <v>2.383608815426997</v>
      </c>
    </row>
    <row r="100">
      <c r="A100" s="35">
        <v>45756.0</v>
      </c>
      <c r="B100" s="4">
        <v>66319.0</v>
      </c>
      <c r="C100" s="4">
        <v>788.0</v>
      </c>
      <c r="D100" s="36">
        <v>679.0</v>
      </c>
      <c r="E100" s="4">
        <v>15.0</v>
      </c>
      <c r="F100" s="36">
        <v>1737.0</v>
      </c>
      <c r="G100" s="4">
        <v>0.011881964444578477</v>
      </c>
      <c r="H100" s="4">
        <v>0.01903553299492386</v>
      </c>
      <c r="I100" s="4">
        <v>10.238393220645667</v>
      </c>
      <c r="J100" s="4">
        <v>0.8616751269035533</v>
      </c>
      <c r="K100" s="4">
        <v>115.8</v>
      </c>
      <c r="L100" s="4">
        <v>2.5581737849779085</v>
      </c>
    </row>
    <row r="101">
      <c r="A101" s="35">
        <v>45757.0</v>
      </c>
      <c r="B101" s="4">
        <v>64829.0</v>
      </c>
      <c r="C101" s="4">
        <v>1139.0</v>
      </c>
      <c r="D101" s="36">
        <v>962.0</v>
      </c>
      <c r="E101" s="4">
        <v>15.0</v>
      </c>
      <c r="F101" s="36">
        <v>2077.0</v>
      </c>
      <c r="G101" s="4">
        <v>0.01756929769084823</v>
      </c>
      <c r="H101" s="4">
        <v>0.013169446883230905</v>
      </c>
      <c r="I101" s="4">
        <v>14.839038084807726</v>
      </c>
      <c r="J101" s="4">
        <v>0.8446005267778753</v>
      </c>
      <c r="K101" s="4">
        <v>138.46666666666667</v>
      </c>
      <c r="L101" s="4">
        <v>2.1590436590436592</v>
      </c>
    </row>
    <row r="102">
      <c r="A102" s="35">
        <v>45758.0</v>
      </c>
      <c r="B102" s="4">
        <v>77950.0</v>
      </c>
      <c r="C102" s="4">
        <v>2622.0</v>
      </c>
      <c r="D102" s="36">
        <v>2303.0</v>
      </c>
      <c r="E102" s="4">
        <v>44.0</v>
      </c>
      <c r="F102" s="36">
        <v>8218.0</v>
      </c>
      <c r="G102" s="4">
        <v>0.033636946760744066</v>
      </c>
      <c r="H102" s="4">
        <v>0.016781083142639208</v>
      </c>
      <c r="I102" s="4">
        <v>29.5445798588839</v>
      </c>
      <c r="J102" s="4">
        <v>0.8783371472158658</v>
      </c>
      <c r="K102" s="4">
        <v>186.77272727272728</v>
      </c>
      <c r="L102" s="4">
        <v>3.56838905775076</v>
      </c>
    </row>
    <row r="103">
      <c r="A103" s="35">
        <v>45759.0</v>
      </c>
      <c r="B103" s="4">
        <v>109882.0</v>
      </c>
      <c r="C103" s="4">
        <v>2216.0</v>
      </c>
      <c r="D103" s="36">
        <v>1513.0</v>
      </c>
      <c r="E103" s="4">
        <v>25.0</v>
      </c>
      <c r="F103" s="36">
        <v>2999.0</v>
      </c>
      <c r="G103" s="4">
        <v>0.020167088331118837</v>
      </c>
      <c r="H103" s="4">
        <v>0.01128158844765343</v>
      </c>
      <c r="I103" s="4">
        <v>13.769316175533755</v>
      </c>
      <c r="J103" s="4">
        <v>0.6827617328519856</v>
      </c>
      <c r="K103" s="4">
        <v>119.96</v>
      </c>
      <c r="L103" s="4">
        <v>1.9821546596166557</v>
      </c>
    </row>
    <row r="104">
      <c r="A104" s="35">
        <v>45760.0</v>
      </c>
      <c r="B104" s="4">
        <v>30168.0</v>
      </c>
      <c r="C104" s="4">
        <v>534.0</v>
      </c>
      <c r="D104" s="36">
        <v>575.0</v>
      </c>
      <c r="E104" s="4">
        <v>7.0</v>
      </c>
      <c r="F104" s="36">
        <v>1149.0</v>
      </c>
      <c r="G104" s="4">
        <v>0.01770087509944312</v>
      </c>
      <c r="H104" s="4">
        <v>0.013108614232209739</v>
      </c>
      <c r="I104" s="4">
        <v>19.059931052771148</v>
      </c>
      <c r="J104" s="4">
        <v>1.0767790262172285</v>
      </c>
      <c r="K104" s="4">
        <v>164.14285714285714</v>
      </c>
      <c r="L104" s="4">
        <v>1.9982608695652173</v>
      </c>
    </row>
    <row r="105">
      <c r="A105" s="35">
        <v>45761.0</v>
      </c>
      <c r="B105" s="4">
        <v>87700.0</v>
      </c>
      <c r="C105" s="4">
        <v>1213.0</v>
      </c>
      <c r="D105" s="36">
        <v>1132.0</v>
      </c>
      <c r="E105" s="4">
        <v>27.0</v>
      </c>
      <c r="F105" s="36">
        <v>4369.0</v>
      </c>
      <c r="G105" s="4">
        <v>0.013831242873432155</v>
      </c>
      <c r="H105" s="4">
        <v>0.02225886232481451</v>
      </c>
      <c r="I105" s="4">
        <v>12.90763968072976</v>
      </c>
      <c r="J105" s="4">
        <v>0.9332234130255564</v>
      </c>
      <c r="K105" s="4">
        <v>161.8148148148148</v>
      </c>
      <c r="L105" s="4">
        <v>3.8595406360424027</v>
      </c>
    </row>
    <row r="106">
      <c r="A106" s="35">
        <v>45762.0</v>
      </c>
      <c r="B106" s="4">
        <v>97251.0</v>
      </c>
      <c r="C106" s="4">
        <v>2596.0</v>
      </c>
      <c r="D106" s="36">
        <v>3362.0</v>
      </c>
      <c r="E106" s="4">
        <v>41.0</v>
      </c>
      <c r="F106" s="36">
        <v>8217.0</v>
      </c>
      <c r="G106" s="4">
        <v>0.026693812917090828</v>
      </c>
      <c r="H106" s="4">
        <v>0.015793528505392913</v>
      </c>
      <c r="I106" s="4">
        <v>34.57033860834336</v>
      </c>
      <c r="J106" s="4">
        <v>1.2950693374422189</v>
      </c>
      <c r="K106" s="4">
        <v>200.41463414634146</v>
      </c>
      <c r="L106" s="4">
        <v>2.4440809042236764</v>
      </c>
    </row>
    <row r="107">
      <c r="A107" s="35">
        <v>45763.0</v>
      </c>
      <c r="B107" s="4">
        <v>34338.0</v>
      </c>
      <c r="C107" s="4">
        <v>468.0</v>
      </c>
      <c r="D107" s="36">
        <v>292.0</v>
      </c>
      <c r="E107" s="4">
        <v>10.0</v>
      </c>
      <c r="F107" s="36">
        <v>1686.0</v>
      </c>
      <c r="G107" s="4">
        <v>0.013629215446444173</v>
      </c>
      <c r="H107" s="4">
        <v>0.021367521367521368</v>
      </c>
      <c r="I107" s="4">
        <v>8.503698526413885</v>
      </c>
      <c r="J107" s="4">
        <v>0.6239316239316239</v>
      </c>
      <c r="K107" s="4">
        <v>168.6</v>
      </c>
      <c r="L107" s="4">
        <v>5.773972602739726</v>
      </c>
    </row>
    <row r="108">
      <c r="A108" s="35">
        <v>45764.0</v>
      </c>
      <c r="B108" s="4">
        <v>97838.0</v>
      </c>
      <c r="C108" s="4">
        <v>1187.0</v>
      </c>
      <c r="D108" s="36">
        <v>1620.0</v>
      </c>
      <c r="E108" s="4">
        <v>26.0</v>
      </c>
      <c r="F108" s="36">
        <v>4553.0</v>
      </c>
      <c r="G108" s="4">
        <v>0.012132300333203868</v>
      </c>
      <c r="H108" s="4">
        <v>0.02190395956192081</v>
      </c>
      <c r="I108" s="4">
        <v>16.557983605552035</v>
      </c>
      <c r="J108" s="4">
        <v>1.3647851727042966</v>
      </c>
      <c r="K108" s="4">
        <v>175.1153846153846</v>
      </c>
      <c r="L108" s="4">
        <v>2.810493827160494</v>
      </c>
    </row>
    <row r="109">
      <c r="A109" s="35">
        <v>45765.0</v>
      </c>
      <c r="B109" s="4">
        <v>111480.0</v>
      </c>
      <c r="C109" s="4">
        <v>2388.0</v>
      </c>
      <c r="D109" s="36">
        <v>1933.0</v>
      </c>
      <c r="E109" s="4">
        <v>54.0</v>
      </c>
      <c r="F109" s="36">
        <v>7744.0</v>
      </c>
      <c r="G109" s="4">
        <v>0.021420882669537136</v>
      </c>
      <c r="H109" s="4">
        <v>0.022613065326633167</v>
      </c>
      <c r="I109" s="4">
        <v>17.339433082167204</v>
      </c>
      <c r="J109" s="4">
        <v>0.809463986599665</v>
      </c>
      <c r="K109" s="4">
        <v>143.40740740740742</v>
      </c>
      <c r="L109" s="4">
        <v>4.006207966890844</v>
      </c>
    </row>
    <row r="110">
      <c r="A110" s="35">
        <v>45766.0</v>
      </c>
      <c r="B110" s="4">
        <v>31279.0</v>
      </c>
      <c r="C110" s="4">
        <v>504.0</v>
      </c>
      <c r="D110" s="36">
        <v>595.0</v>
      </c>
      <c r="E110" s="4">
        <v>5.0</v>
      </c>
      <c r="F110" s="36">
        <v>832.0</v>
      </c>
      <c r="G110" s="4">
        <v>0.016113047092298348</v>
      </c>
      <c r="H110" s="4">
        <v>0.00992063492063492</v>
      </c>
      <c r="I110" s="4">
        <v>19.022347261741103</v>
      </c>
      <c r="J110" s="4">
        <v>1.1805555555555556</v>
      </c>
      <c r="K110" s="4">
        <v>166.4</v>
      </c>
      <c r="L110" s="4">
        <v>1.3983193277310924</v>
      </c>
    </row>
    <row r="111">
      <c r="A111" s="35">
        <v>45767.0</v>
      </c>
      <c r="B111" s="4">
        <v>50596.0</v>
      </c>
      <c r="C111" s="4">
        <v>903.0</v>
      </c>
      <c r="D111" s="36">
        <v>927.0</v>
      </c>
      <c r="E111" s="4">
        <v>21.0</v>
      </c>
      <c r="F111" s="36">
        <v>3780.0</v>
      </c>
      <c r="G111" s="4">
        <v>0.017847260653016048</v>
      </c>
      <c r="H111" s="4">
        <v>0.023255813953488372</v>
      </c>
      <c r="I111" s="4">
        <v>18.321606451102852</v>
      </c>
      <c r="J111" s="4">
        <v>1.026578073089701</v>
      </c>
      <c r="K111" s="4">
        <v>180.0</v>
      </c>
      <c r="L111" s="4">
        <v>4.077669902912621</v>
      </c>
    </row>
    <row r="112">
      <c r="A112" s="35">
        <v>45768.0</v>
      </c>
      <c r="B112" s="4">
        <v>100697.0</v>
      </c>
      <c r="C112" s="4">
        <v>2694.0</v>
      </c>
      <c r="D112" s="36">
        <v>2923.0</v>
      </c>
      <c r="E112" s="4">
        <v>69.0</v>
      </c>
      <c r="F112" s="36">
        <v>11284.0</v>
      </c>
      <c r="G112" s="4">
        <v>0.026753527910464064</v>
      </c>
      <c r="H112" s="4">
        <v>0.025612472160356347</v>
      </c>
      <c r="I112" s="4">
        <v>29.027677090677972</v>
      </c>
      <c r="J112" s="4">
        <v>1.085003711952487</v>
      </c>
      <c r="K112" s="4">
        <v>163.53623188405797</v>
      </c>
      <c r="L112" s="4">
        <v>3.860417379404721</v>
      </c>
    </row>
    <row r="113">
      <c r="A113" s="35">
        <v>45769.0</v>
      </c>
      <c r="B113" s="4">
        <v>102536.0</v>
      </c>
      <c r="C113" s="4">
        <v>2354.0</v>
      </c>
      <c r="D113" s="36">
        <v>2801.0</v>
      </c>
      <c r="E113" s="4">
        <v>36.0</v>
      </c>
      <c r="F113" s="36">
        <v>5763.0</v>
      </c>
      <c r="G113" s="4">
        <v>0.022957790434579076</v>
      </c>
      <c r="H113" s="4">
        <v>0.015293118096856415</v>
      </c>
      <c r="I113" s="4">
        <v>27.31723492236873</v>
      </c>
      <c r="J113" s="4">
        <v>1.1898895497026338</v>
      </c>
      <c r="K113" s="4">
        <v>160.08333333333334</v>
      </c>
      <c r="L113" s="4">
        <v>2.0574794716172797</v>
      </c>
    </row>
    <row r="114">
      <c r="A114" s="35">
        <v>45770.0</v>
      </c>
      <c r="B114" s="4">
        <v>89706.0</v>
      </c>
      <c r="C114" s="4">
        <v>2802.0</v>
      </c>
      <c r="D114" s="36">
        <v>1535.0</v>
      </c>
      <c r="E114" s="4">
        <v>52.0</v>
      </c>
      <c r="F114" s="36">
        <v>7724.0</v>
      </c>
      <c r="G114" s="4">
        <v>0.031235368871647382</v>
      </c>
      <c r="H114" s="4">
        <v>0.018558172733761598</v>
      </c>
      <c r="I114" s="4">
        <v>17.11145296858627</v>
      </c>
      <c r="J114" s="4">
        <v>0.5478229835831548</v>
      </c>
      <c r="K114" s="4">
        <v>148.53846153846155</v>
      </c>
      <c r="L114" s="4">
        <v>5.031921824104234</v>
      </c>
    </row>
    <row r="115">
      <c r="A115" s="35">
        <v>45771.0</v>
      </c>
      <c r="B115" s="4">
        <v>101868.0</v>
      </c>
      <c r="C115" s="4">
        <v>1180.0</v>
      </c>
      <c r="D115" s="36">
        <v>1727.0</v>
      </c>
      <c r="E115" s="4">
        <v>29.0</v>
      </c>
      <c r="F115" s="36">
        <v>4524.0</v>
      </c>
      <c r="G115" s="4">
        <v>0.011583618015471002</v>
      </c>
      <c r="H115" s="4">
        <v>0.02457627118644068</v>
      </c>
      <c r="I115" s="4">
        <v>16.95331212942239</v>
      </c>
      <c r="J115" s="4">
        <v>1.4635593220338983</v>
      </c>
      <c r="K115" s="4">
        <v>156.0</v>
      </c>
      <c r="L115" s="4">
        <v>2.6195715112912565</v>
      </c>
    </row>
    <row r="116">
      <c r="A116" s="35">
        <v>45772.0</v>
      </c>
      <c r="B116" s="4">
        <v>51639.0</v>
      </c>
      <c r="C116" s="4">
        <v>1362.0</v>
      </c>
      <c r="D116" s="36">
        <v>1642.0</v>
      </c>
      <c r="E116" s="4">
        <v>28.0</v>
      </c>
      <c r="F116" s="36">
        <v>5669.0</v>
      </c>
      <c r="G116" s="4">
        <v>0.02637541393133097</v>
      </c>
      <c r="H116" s="4">
        <v>0.020558002936857563</v>
      </c>
      <c r="I116" s="4">
        <v>31.79767230194233</v>
      </c>
      <c r="J116" s="4">
        <v>1.2055800293685757</v>
      </c>
      <c r="K116" s="4">
        <v>202.46428571428572</v>
      </c>
      <c r="L116" s="4">
        <v>3.4524969549330087</v>
      </c>
    </row>
    <row r="117">
      <c r="A117" s="35">
        <v>45773.0</v>
      </c>
      <c r="B117" s="4">
        <v>84816.0</v>
      </c>
      <c r="C117" s="4">
        <v>1259.0</v>
      </c>
      <c r="D117" s="36">
        <v>1403.0</v>
      </c>
      <c r="E117" s="4">
        <v>27.0</v>
      </c>
      <c r="F117" s="36">
        <v>4630.0</v>
      </c>
      <c r="G117" s="4">
        <v>0.014843897377853235</v>
      </c>
      <c r="H117" s="4">
        <v>0.021445591739475776</v>
      </c>
      <c r="I117" s="4">
        <v>16.541690247123185</v>
      </c>
      <c r="J117" s="4">
        <v>1.1143764892772041</v>
      </c>
      <c r="K117" s="4">
        <v>171.4814814814815</v>
      </c>
      <c r="L117" s="4">
        <v>3.300071275837491</v>
      </c>
    </row>
    <row r="118">
      <c r="A118" s="35">
        <v>45774.0</v>
      </c>
      <c r="B118" s="4">
        <v>39447.0</v>
      </c>
      <c r="C118" s="4">
        <v>656.0</v>
      </c>
      <c r="D118" s="36">
        <v>770.0</v>
      </c>
      <c r="E118" s="4">
        <v>11.0</v>
      </c>
      <c r="F118" s="36">
        <v>1508.0</v>
      </c>
      <c r="G118" s="4">
        <v>0.01662990848480239</v>
      </c>
      <c r="H118" s="4">
        <v>0.01676829268292683</v>
      </c>
      <c r="I118" s="4">
        <v>19.519862093441834</v>
      </c>
      <c r="J118" s="4">
        <v>1.173780487804878</v>
      </c>
      <c r="K118" s="4">
        <v>137.0909090909091</v>
      </c>
      <c r="L118" s="4">
        <v>1.9584415584415584</v>
      </c>
    </row>
    <row r="119">
      <c r="A119" s="35">
        <v>45775.0</v>
      </c>
      <c r="B119" s="4">
        <v>76707.0</v>
      </c>
      <c r="C119" s="4">
        <v>879.0</v>
      </c>
      <c r="D119" s="36">
        <v>733.0</v>
      </c>
      <c r="E119" s="4">
        <v>17.0</v>
      </c>
      <c r="F119" s="36">
        <v>2954.0</v>
      </c>
      <c r="G119" s="4">
        <v>0.011459188861511987</v>
      </c>
      <c r="H119" s="4">
        <v>0.019340159271899887</v>
      </c>
      <c r="I119" s="4">
        <v>9.55584236119259</v>
      </c>
      <c r="J119" s="4">
        <v>0.8339021615472128</v>
      </c>
      <c r="K119" s="4">
        <v>173.76470588235293</v>
      </c>
      <c r="L119" s="4">
        <v>4.0300136425648025</v>
      </c>
    </row>
    <row r="120">
      <c r="A120" s="35">
        <v>45776.0</v>
      </c>
      <c r="B120" s="4">
        <v>53101.0</v>
      </c>
      <c r="C120" s="4">
        <v>993.0</v>
      </c>
      <c r="D120" s="36">
        <v>830.0</v>
      </c>
      <c r="E120" s="4">
        <v>19.0</v>
      </c>
      <c r="F120" s="36">
        <v>2771.0</v>
      </c>
      <c r="G120" s="4">
        <v>0.018700212802018796</v>
      </c>
      <c r="H120" s="4">
        <v>0.019133937562940583</v>
      </c>
      <c r="I120" s="4">
        <v>15.630590761002619</v>
      </c>
      <c r="J120" s="4">
        <v>0.8358509566968781</v>
      </c>
      <c r="K120" s="4">
        <v>145.8421052631579</v>
      </c>
      <c r="L120" s="4">
        <v>3.33855421686747</v>
      </c>
    </row>
    <row r="121">
      <c r="A121" s="35">
        <v>45777.0</v>
      </c>
      <c r="B121" s="4">
        <v>76471.0</v>
      </c>
      <c r="C121" s="4">
        <v>1696.0</v>
      </c>
      <c r="D121" s="36">
        <v>1769.0</v>
      </c>
      <c r="E121" s="4">
        <v>30.0</v>
      </c>
      <c r="F121" s="36">
        <v>4114.0</v>
      </c>
      <c r="G121" s="4">
        <v>0.02217834211661937</v>
      </c>
      <c r="H121" s="4">
        <v>0.01768867924528302</v>
      </c>
      <c r="I121" s="4">
        <v>23.13295236102575</v>
      </c>
      <c r="J121" s="4">
        <v>1.0430424528301887</v>
      </c>
      <c r="K121" s="4">
        <v>137.13333333333333</v>
      </c>
      <c r="L121" s="4">
        <v>2.325607687959299</v>
      </c>
    </row>
    <row r="122">
      <c r="A122" s="35">
        <v>45778.0</v>
      </c>
      <c r="B122" s="4">
        <v>24448.0</v>
      </c>
      <c r="C122" s="4">
        <v>256.0</v>
      </c>
      <c r="D122" s="36">
        <v>238.0</v>
      </c>
      <c r="E122" s="4">
        <v>5.0</v>
      </c>
      <c r="F122" s="36">
        <v>766.0</v>
      </c>
      <c r="G122" s="4">
        <v>0.010471204188481676</v>
      </c>
      <c r="H122" s="4">
        <v>0.01953125</v>
      </c>
      <c r="I122" s="4">
        <v>9.734947643979059</v>
      </c>
      <c r="J122" s="4">
        <v>0.9296875</v>
      </c>
      <c r="K122" s="4">
        <v>153.2</v>
      </c>
      <c r="L122" s="4">
        <v>3.2184873949579833</v>
      </c>
    </row>
    <row r="123">
      <c r="A123" s="35">
        <v>45779.0</v>
      </c>
      <c r="B123" s="4">
        <v>107312.0</v>
      </c>
      <c r="C123" s="4">
        <v>1699.0</v>
      </c>
      <c r="D123" s="36">
        <v>1489.0</v>
      </c>
      <c r="E123" s="4">
        <v>31.0</v>
      </c>
      <c r="F123" s="36">
        <v>3449.0</v>
      </c>
      <c r="G123" s="4">
        <v>0.015832339346950948</v>
      </c>
      <c r="H123" s="4">
        <v>0.018246027074749854</v>
      </c>
      <c r="I123" s="4">
        <v>13.875428656627404</v>
      </c>
      <c r="J123" s="4">
        <v>0.8763978811065333</v>
      </c>
      <c r="K123" s="4">
        <v>111.25806451612904</v>
      </c>
      <c r="L123" s="4">
        <v>2.316319677635997</v>
      </c>
    </row>
    <row r="124">
      <c r="A124" s="35">
        <v>45780.0</v>
      </c>
      <c r="B124" s="4">
        <v>66041.0</v>
      </c>
      <c r="C124" s="4">
        <v>1702.0</v>
      </c>
      <c r="D124" s="36">
        <v>1890.0</v>
      </c>
      <c r="E124" s="4">
        <v>30.0</v>
      </c>
      <c r="F124" s="36">
        <v>4232.0</v>
      </c>
      <c r="G124" s="4">
        <v>0.025771868990475615</v>
      </c>
      <c r="H124" s="4">
        <v>0.01762632197414806</v>
      </c>
      <c r="I124" s="4">
        <v>28.618585424206177</v>
      </c>
      <c r="J124" s="4">
        <v>1.1104582843713278</v>
      </c>
      <c r="K124" s="4">
        <v>141.06666666666666</v>
      </c>
      <c r="L124" s="4">
        <v>2.2391534391534393</v>
      </c>
    </row>
    <row r="125">
      <c r="A125" s="35">
        <v>45781.0</v>
      </c>
      <c r="B125" s="4">
        <v>67456.0</v>
      </c>
      <c r="C125" s="4">
        <v>1814.0</v>
      </c>
      <c r="D125" s="36">
        <v>1683.0</v>
      </c>
      <c r="E125" s="4">
        <v>38.0</v>
      </c>
      <c r="F125" s="36">
        <v>5888.0</v>
      </c>
      <c r="G125" s="4">
        <v>0.02689160341555977</v>
      </c>
      <c r="H125" s="4">
        <v>0.020948180815876516</v>
      </c>
      <c r="I125" s="4">
        <v>24.949596774193548</v>
      </c>
      <c r="J125" s="4">
        <v>0.9277839029768468</v>
      </c>
      <c r="K125" s="4">
        <v>154.94736842105263</v>
      </c>
      <c r="L125" s="4">
        <v>3.498514557338087</v>
      </c>
    </row>
    <row r="126">
      <c r="A126" s="35">
        <v>45782.0</v>
      </c>
      <c r="B126" s="4">
        <v>105881.0</v>
      </c>
      <c r="C126" s="4">
        <v>2191.0</v>
      </c>
      <c r="D126" s="36">
        <v>2368.0</v>
      </c>
      <c r="E126" s="4">
        <v>55.0</v>
      </c>
      <c r="F126" s="36">
        <v>8333.0</v>
      </c>
      <c r="G126" s="4">
        <v>0.020693042188872413</v>
      </c>
      <c r="H126" s="4">
        <v>0.02510269283432223</v>
      </c>
      <c r="I126" s="4">
        <v>22.364730215997206</v>
      </c>
      <c r="J126" s="4">
        <v>1.0807850296668189</v>
      </c>
      <c r="K126" s="4">
        <v>151.5090909090909</v>
      </c>
      <c r="L126" s="4">
        <v>3.5190033783783785</v>
      </c>
    </row>
    <row r="127">
      <c r="A127" s="35">
        <v>45783.0</v>
      </c>
      <c r="B127" s="4">
        <v>63438.0</v>
      </c>
      <c r="C127" s="4">
        <v>1031.0</v>
      </c>
      <c r="D127" s="36">
        <v>709.0</v>
      </c>
      <c r="E127" s="4">
        <v>21.0</v>
      </c>
      <c r="F127" s="36">
        <v>3399.0</v>
      </c>
      <c r="G127" s="4">
        <v>0.016252088653488445</v>
      </c>
      <c r="H127" s="4">
        <v>0.020368574199806012</v>
      </c>
      <c r="I127" s="4">
        <v>11.17626659100224</v>
      </c>
      <c r="J127" s="4">
        <v>0.6876818622696411</v>
      </c>
      <c r="K127" s="4">
        <v>161.85714285714286</v>
      </c>
      <c r="L127" s="4">
        <v>4.794076163610719</v>
      </c>
    </row>
    <row r="128">
      <c r="A128" s="35">
        <v>45784.0</v>
      </c>
      <c r="B128" s="4">
        <v>80609.0</v>
      </c>
      <c r="C128" s="4">
        <v>2134.0</v>
      </c>
      <c r="D128" s="36">
        <v>2905.0</v>
      </c>
      <c r="E128" s="4">
        <v>33.0</v>
      </c>
      <c r="F128" s="36">
        <v>3394.0</v>
      </c>
      <c r="G128" s="4">
        <v>0.026473470704263792</v>
      </c>
      <c r="H128" s="4">
        <v>0.015463917525773196</v>
      </c>
      <c r="I128" s="4">
        <v>36.03815951072461</v>
      </c>
      <c r="J128" s="4">
        <v>1.3612933458294283</v>
      </c>
      <c r="K128" s="4">
        <v>102.84848484848484</v>
      </c>
      <c r="L128" s="4">
        <v>1.1683304647160069</v>
      </c>
    </row>
    <row r="129">
      <c r="A129" s="35">
        <v>45785.0</v>
      </c>
      <c r="B129" s="4">
        <v>36438.0</v>
      </c>
      <c r="C129" s="4">
        <v>542.0</v>
      </c>
      <c r="D129" s="36">
        <v>424.0</v>
      </c>
      <c r="E129" s="4">
        <v>7.0</v>
      </c>
      <c r="F129" s="36">
        <v>1127.0</v>
      </c>
      <c r="G129" s="4">
        <v>0.014874581480871618</v>
      </c>
      <c r="H129" s="4">
        <v>0.012915129151291513</v>
      </c>
      <c r="I129" s="4">
        <v>11.636203962895877</v>
      </c>
      <c r="J129" s="4">
        <v>0.7822878228782287</v>
      </c>
      <c r="K129" s="4">
        <v>161.0</v>
      </c>
      <c r="L129" s="4">
        <v>2.6580188679245285</v>
      </c>
    </row>
    <row r="130">
      <c r="A130" s="35">
        <v>45786.0</v>
      </c>
      <c r="B130" s="4">
        <v>85077.0</v>
      </c>
      <c r="C130" s="4">
        <v>2322.0</v>
      </c>
      <c r="D130" s="36">
        <v>1996.0</v>
      </c>
      <c r="E130" s="4">
        <v>55.0</v>
      </c>
      <c r="F130" s="36">
        <v>7949.0</v>
      </c>
      <c r="G130" s="4">
        <v>0.02729292288162488</v>
      </c>
      <c r="H130" s="4">
        <v>0.023686477174849268</v>
      </c>
      <c r="I130" s="4">
        <v>23.461099944755926</v>
      </c>
      <c r="J130" s="4">
        <v>0.859603789836348</v>
      </c>
      <c r="K130" s="4">
        <v>144.52727272727273</v>
      </c>
      <c r="L130" s="4">
        <v>3.9824649298597192</v>
      </c>
    </row>
    <row r="131">
      <c r="A131" s="35">
        <v>45787.0</v>
      </c>
      <c r="B131" s="4">
        <v>73834.0</v>
      </c>
      <c r="C131" s="4">
        <v>2410.0</v>
      </c>
      <c r="D131" s="36">
        <v>2808.0</v>
      </c>
      <c r="E131" s="4">
        <v>48.0</v>
      </c>
      <c r="F131" s="36">
        <v>7077.0</v>
      </c>
      <c r="G131" s="4">
        <v>0.03264078879648942</v>
      </c>
      <c r="H131" s="4">
        <v>0.01991701244813278</v>
      </c>
      <c r="I131" s="4">
        <v>38.031259311428336</v>
      </c>
      <c r="J131" s="4">
        <v>1.1651452282157677</v>
      </c>
      <c r="K131" s="4">
        <v>147.4375</v>
      </c>
      <c r="L131" s="4">
        <v>2.5202991452991452</v>
      </c>
    </row>
    <row r="132">
      <c r="A132" s="35">
        <v>45788.0</v>
      </c>
      <c r="B132" s="4">
        <v>21139.0</v>
      </c>
      <c r="C132" s="4">
        <v>275.0</v>
      </c>
      <c r="D132" s="36">
        <v>350.0</v>
      </c>
      <c r="E132" s="4">
        <v>5.0</v>
      </c>
      <c r="F132" s="36">
        <v>615.0</v>
      </c>
      <c r="G132" s="4">
        <v>0.013009130043994512</v>
      </c>
      <c r="H132" s="4">
        <v>0.01818181818181818</v>
      </c>
      <c r="I132" s="4">
        <v>16.55707460144756</v>
      </c>
      <c r="J132" s="4">
        <v>1.2727272727272727</v>
      </c>
      <c r="K132" s="4">
        <v>123.0</v>
      </c>
      <c r="L132" s="4">
        <v>1.7571428571428571</v>
      </c>
    </row>
    <row r="133">
      <c r="A133" s="35">
        <v>45789.0</v>
      </c>
      <c r="B133" s="4">
        <v>37740.0</v>
      </c>
      <c r="C133" s="4">
        <v>955.0</v>
      </c>
      <c r="D133" s="36">
        <v>1079.0</v>
      </c>
      <c r="E133" s="4">
        <v>14.0</v>
      </c>
      <c r="F133" s="36">
        <v>3124.0</v>
      </c>
      <c r="G133" s="4">
        <v>0.02530471648118707</v>
      </c>
      <c r="H133" s="4">
        <v>0.014659685863874346</v>
      </c>
      <c r="I133" s="4">
        <v>28.590355060943295</v>
      </c>
      <c r="J133" s="4">
        <v>1.1298429319371728</v>
      </c>
      <c r="K133" s="4">
        <v>223.14285714285714</v>
      </c>
      <c r="L133" s="4">
        <v>2.895273401297498</v>
      </c>
    </row>
    <row r="134">
      <c r="A134" s="35">
        <v>45790.0</v>
      </c>
      <c r="B134" s="4">
        <v>52306.0</v>
      </c>
      <c r="C134" s="4">
        <v>932.0</v>
      </c>
      <c r="D134" s="36">
        <v>904.0</v>
      </c>
      <c r="E134" s="4">
        <v>17.0</v>
      </c>
      <c r="F134" s="36">
        <v>2288.0</v>
      </c>
      <c r="G134" s="4">
        <v>0.01781822353076129</v>
      </c>
      <c r="H134" s="4">
        <v>0.018240343347639486</v>
      </c>
      <c r="I134" s="4">
        <v>17.282912094214815</v>
      </c>
      <c r="J134" s="4">
        <v>0.9699570815450643</v>
      </c>
      <c r="K134" s="4">
        <v>134.58823529411765</v>
      </c>
      <c r="L134" s="4">
        <v>2.5309734513274336</v>
      </c>
    </row>
    <row r="135">
      <c r="A135" s="35">
        <v>45791.0</v>
      </c>
      <c r="B135" s="4">
        <v>117564.0</v>
      </c>
      <c r="C135" s="4">
        <v>1981.0</v>
      </c>
      <c r="D135" s="36">
        <v>2552.0</v>
      </c>
      <c r="E135" s="4">
        <v>25.0</v>
      </c>
      <c r="F135" s="36">
        <v>2710.0</v>
      </c>
      <c r="G135" s="4">
        <v>0.01685039637984417</v>
      </c>
      <c r="H135" s="4">
        <v>0.012619888944977285</v>
      </c>
      <c r="I135" s="4">
        <v>21.70732537171243</v>
      </c>
      <c r="J135" s="4">
        <v>1.2882382635032812</v>
      </c>
      <c r="K135" s="4">
        <v>108.4</v>
      </c>
      <c r="L135" s="4">
        <v>1.061912225705329</v>
      </c>
    </row>
    <row r="136">
      <c r="A136" s="35">
        <v>45792.0</v>
      </c>
      <c r="B136" s="4">
        <v>25364.0</v>
      </c>
      <c r="C136" s="4">
        <v>434.0</v>
      </c>
      <c r="D136" s="36">
        <v>294.0</v>
      </c>
      <c r="E136" s="4">
        <v>11.0</v>
      </c>
      <c r="F136" s="36">
        <v>1194.0</v>
      </c>
      <c r="G136" s="4">
        <v>0.017110865794038796</v>
      </c>
      <c r="H136" s="4">
        <v>0.02534562211981567</v>
      </c>
      <c r="I136" s="4">
        <v>11.591231666929508</v>
      </c>
      <c r="J136" s="4">
        <v>0.6774193548387096</v>
      </c>
      <c r="K136" s="4">
        <v>108.54545454545455</v>
      </c>
      <c r="L136" s="4">
        <v>4.061224489795919</v>
      </c>
    </row>
    <row r="137">
      <c r="A137" s="35">
        <v>45793.0</v>
      </c>
      <c r="B137" s="4">
        <v>74630.0</v>
      </c>
      <c r="C137" s="4">
        <v>1584.0</v>
      </c>
      <c r="D137" s="36">
        <v>1102.0</v>
      </c>
      <c r="E137" s="4">
        <v>40.0</v>
      </c>
      <c r="F137" s="36">
        <v>5770.0</v>
      </c>
      <c r="G137" s="4">
        <v>0.021224708562240385</v>
      </c>
      <c r="H137" s="4">
        <v>0.025252525252525252</v>
      </c>
      <c r="I137" s="4">
        <v>14.76617982044754</v>
      </c>
      <c r="J137" s="4">
        <v>0.6957070707070707</v>
      </c>
      <c r="K137" s="4">
        <v>144.25</v>
      </c>
      <c r="L137" s="4">
        <v>5.235934664246824</v>
      </c>
    </row>
    <row r="138">
      <c r="A138" s="35">
        <v>45794.0</v>
      </c>
      <c r="B138" s="4">
        <v>63489.0</v>
      </c>
      <c r="C138" s="4">
        <v>1236.0</v>
      </c>
      <c r="D138" s="36">
        <v>1066.0</v>
      </c>
      <c r="E138" s="4">
        <v>17.0</v>
      </c>
      <c r="F138" s="36">
        <v>2611.0</v>
      </c>
      <c r="G138" s="4">
        <v>0.01946793932807258</v>
      </c>
      <c r="H138" s="4">
        <v>0.013754045307443365</v>
      </c>
      <c r="I138" s="4">
        <v>16.79031013246389</v>
      </c>
      <c r="J138" s="4">
        <v>0.8624595469255664</v>
      </c>
      <c r="K138" s="4">
        <v>153.58823529411765</v>
      </c>
      <c r="L138" s="4">
        <v>2.449343339587242</v>
      </c>
    </row>
    <row r="139">
      <c r="A139" s="35">
        <v>45795.0</v>
      </c>
      <c r="B139" s="4">
        <v>105220.0</v>
      </c>
      <c r="C139" s="4">
        <v>1702.0</v>
      </c>
      <c r="D139" s="36">
        <v>2200.0</v>
      </c>
      <c r="E139" s="4">
        <v>45.0</v>
      </c>
      <c r="F139" s="36">
        <v>6598.0</v>
      </c>
      <c r="G139" s="4">
        <v>0.016175632009123742</v>
      </c>
      <c r="H139" s="4">
        <v>0.026439482961222092</v>
      </c>
      <c r="I139" s="4">
        <v>20.908572514731038</v>
      </c>
      <c r="J139" s="4">
        <v>1.2925969447708578</v>
      </c>
      <c r="K139" s="4">
        <v>146.62222222222223</v>
      </c>
      <c r="L139" s="4">
        <v>2.999090909090909</v>
      </c>
    </row>
    <row r="140">
      <c r="A140" s="35">
        <v>45796.0</v>
      </c>
      <c r="B140" s="4">
        <v>68778.0</v>
      </c>
      <c r="C140" s="4">
        <v>2502.0</v>
      </c>
      <c r="D140" s="36">
        <v>2106.0</v>
      </c>
      <c r="E140" s="4">
        <v>56.0</v>
      </c>
      <c r="F140" s="36">
        <v>8625.0</v>
      </c>
      <c r="G140" s="4">
        <v>0.03637791154148129</v>
      </c>
      <c r="H140" s="4">
        <v>0.02238209432454037</v>
      </c>
      <c r="I140" s="4">
        <v>30.62025647736195</v>
      </c>
      <c r="J140" s="4">
        <v>0.841726618705036</v>
      </c>
      <c r="K140" s="4">
        <v>154.01785714285714</v>
      </c>
      <c r="L140" s="4">
        <v>4.095441595441596</v>
      </c>
    </row>
    <row r="141">
      <c r="A141" s="35">
        <v>45797.0</v>
      </c>
      <c r="B141" s="4">
        <v>93302.0</v>
      </c>
      <c r="C141" s="4">
        <v>973.0</v>
      </c>
      <c r="D141" s="36">
        <v>774.0</v>
      </c>
      <c r="E141" s="4">
        <v>13.0</v>
      </c>
      <c r="F141" s="36">
        <v>1478.0</v>
      </c>
      <c r="G141" s="4">
        <v>0.010428500996763198</v>
      </c>
      <c r="H141" s="4">
        <v>0.013360739979445015</v>
      </c>
      <c r="I141" s="4">
        <v>8.295642108422115</v>
      </c>
      <c r="J141" s="4">
        <v>0.7954779033915724</v>
      </c>
      <c r="K141" s="4">
        <v>113.6923076923077</v>
      </c>
      <c r="L141" s="4">
        <v>1.9095607235142118</v>
      </c>
    </row>
    <row r="142">
      <c r="A142" s="35">
        <v>45798.0</v>
      </c>
      <c r="B142" s="4">
        <v>91348.0</v>
      </c>
      <c r="C142" s="4">
        <v>1383.0</v>
      </c>
      <c r="D142" s="36">
        <v>1440.0</v>
      </c>
      <c r="E142" s="4">
        <v>31.0</v>
      </c>
      <c r="F142" s="36">
        <v>5712.0</v>
      </c>
      <c r="G142" s="4">
        <v>0.015139904540876648</v>
      </c>
      <c r="H142" s="4">
        <v>0.022415039768618944</v>
      </c>
      <c r="I142" s="4">
        <v>15.763891929763105</v>
      </c>
      <c r="J142" s="4">
        <v>1.0412147505422993</v>
      </c>
      <c r="K142" s="4">
        <v>184.25806451612902</v>
      </c>
      <c r="L142" s="4">
        <v>3.966666666666667</v>
      </c>
    </row>
    <row r="143">
      <c r="A143" s="35">
        <v>45799.0</v>
      </c>
      <c r="B143" s="4">
        <v>70267.0</v>
      </c>
      <c r="C143" s="4">
        <v>819.0</v>
      </c>
      <c r="D143" s="36">
        <v>1027.0</v>
      </c>
      <c r="E143" s="4">
        <v>16.0</v>
      </c>
      <c r="F143" s="36">
        <v>2692.0</v>
      </c>
      <c r="G143" s="4">
        <v>0.011655542431013136</v>
      </c>
      <c r="H143" s="4">
        <v>0.019536019536019536</v>
      </c>
      <c r="I143" s="4">
        <v>14.615680191270439</v>
      </c>
      <c r="J143" s="4">
        <v>1.253968253968254</v>
      </c>
      <c r="K143" s="4">
        <v>168.25</v>
      </c>
      <c r="L143" s="4">
        <v>2.6212268743914313</v>
      </c>
    </row>
    <row r="144">
      <c r="A144" s="35">
        <v>45800.0</v>
      </c>
      <c r="B144" s="4">
        <v>80874.0</v>
      </c>
      <c r="C144" s="4">
        <v>1432.0</v>
      </c>
      <c r="D144" s="36">
        <v>1341.0</v>
      </c>
      <c r="E144" s="4">
        <v>24.0</v>
      </c>
      <c r="F144" s="36">
        <v>4057.0</v>
      </c>
      <c r="G144" s="4">
        <v>0.0177065558770433</v>
      </c>
      <c r="H144" s="4">
        <v>0.01675977653631285</v>
      </c>
      <c r="I144" s="4">
        <v>16.581348764745158</v>
      </c>
      <c r="J144" s="4">
        <v>0.9364525139664804</v>
      </c>
      <c r="K144" s="4">
        <v>169.04166666666666</v>
      </c>
      <c r="L144" s="4">
        <v>3.025354213273676</v>
      </c>
    </row>
    <row r="145">
      <c r="A145" s="35">
        <v>45801.0</v>
      </c>
      <c r="B145" s="4">
        <v>103764.0</v>
      </c>
      <c r="C145" s="4">
        <v>1198.0</v>
      </c>
      <c r="D145" s="36">
        <v>1091.0</v>
      </c>
      <c r="E145" s="4">
        <v>19.0</v>
      </c>
      <c r="F145" s="36">
        <v>3422.0</v>
      </c>
      <c r="G145" s="4">
        <v>0.011545430014263136</v>
      </c>
      <c r="H145" s="4">
        <v>0.015859766277128547</v>
      </c>
      <c r="I145" s="4">
        <v>10.51424386106935</v>
      </c>
      <c r="J145" s="4">
        <v>0.9106844741235393</v>
      </c>
      <c r="K145" s="4">
        <v>180.10526315789474</v>
      </c>
      <c r="L145" s="4">
        <v>3.136571952337305</v>
      </c>
    </row>
    <row r="146">
      <c r="A146" s="35">
        <v>45802.0</v>
      </c>
      <c r="B146" s="4">
        <v>72519.0</v>
      </c>
      <c r="C146" s="4">
        <v>2402.0</v>
      </c>
      <c r="D146" s="36">
        <v>2871.0</v>
      </c>
      <c r="E146" s="4">
        <v>29.0</v>
      </c>
      <c r="F146" s="36">
        <v>4566.0</v>
      </c>
      <c r="G146" s="4">
        <v>0.033122354141673215</v>
      </c>
      <c r="H146" s="4">
        <v>0.012073272273105746</v>
      </c>
      <c r="I146" s="4">
        <v>39.589624787986594</v>
      </c>
      <c r="J146" s="4">
        <v>1.1952539550374688</v>
      </c>
      <c r="K146" s="4">
        <v>157.44827586206895</v>
      </c>
      <c r="L146" s="4">
        <v>1.5903866248693834</v>
      </c>
    </row>
    <row r="147">
      <c r="A147" s="35">
        <v>45803.0</v>
      </c>
      <c r="B147" s="4">
        <v>81742.0</v>
      </c>
      <c r="C147" s="4">
        <v>2310.0</v>
      </c>
      <c r="D147" s="36">
        <v>2913.0</v>
      </c>
      <c r="E147" s="4">
        <v>50.0</v>
      </c>
      <c r="F147" s="36">
        <v>8332.0</v>
      </c>
      <c r="G147" s="4">
        <v>0.028259646203909864</v>
      </c>
      <c r="H147" s="4">
        <v>0.021645021645021644</v>
      </c>
      <c r="I147" s="4">
        <v>35.63651488830711</v>
      </c>
      <c r="J147" s="4">
        <v>1.261038961038961</v>
      </c>
      <c r="K147" s="4">
        <v>166.64</v>
      </c>
      <c r="L147" s="4">
        <v>2.8602814967387573</v>
      </c>
    </row>
    <row r="148">
      <c r="A148" s="35">
        <v>45804.0</v>
      </c>
      <c r="B148" s="4">
        <v>46255.0</v>
      </c>
      <c r="C148" s="4">
        <v>811.0</v>
      </c>
      <c r="D148" s="36">
        <v>660.0</v>
      </c>
      <c r="E148" s="4">
        <v>11.0</v>
      </c>
      <c r="F148" s="36">
        <v>2062.0</v>
      </c>
      <c r="G148" s="4">
        <v>0.017533239649767593</v>
      </c>
      <c r="H148" s="4">
        <v>0.013563501849568433</v>
      </c>
      <c r="I148" s="4">
        <v>14.268727705112962</v>
      </c>
      <c r="J148" s="4">
        <v>0.813810110974106</v>
      </c>
      <c r="K148" s="4">
        <v>187.45454545454547</v>
      </c>
      <c r="L148" s="4">
        <v>3.124242424242424</v>
      </c>
    </row>
    <row r="149">
      <c r="A149" s="35">
        <v>45805.0</v>
      </c>
      <c r="B149" s="4">
        <v>94627.0</v>
      </c>
      <c r="C149" s="4">
        <v>2714.0</v>
      </c>
      <c r="D149" s="36">
        <v>3004.0</v>
      </c>
      <c r="E149" s="4">
        <v>57.0</v>
      </c>
      <c r="F149" s="36">
        <v>10414.0</v>
      </c>
      <c r="G149" s="4">
        <v>0.028681031840806535</v>
      </c>
      <c r="H149" s="4">
        <v>0.021002210759027265</v>
      </c>
      <c r="I149" s="4">
        <v>31.74569626005263</v>
      </c>
      <c r="J149" s="4">
        <v>1.1068533529845246</v>
      </c>
      <c r="K149" s="4">
        <v>182.7017543859649</v>
      </c>
      <c r="L149" s="4">
        <v>3.466711051930759</v>
      </c>
    </row>
    <row r="150">
      <c r="A150" s="35">
        <v>45806.0</v>
      </c>
      <c r="B150" s="4">
        <v>64109.0</v>
      </c>
      <c r="C150" s="4">
        <v>1488.0</v>
      </c>
      <c r="D150" s="36">
        <v>971.0</v>
      </c>
      <c r="E150" s="4">
        <v>34.0</v>
      </c>
      <c r="F150" s="36">
        <v>4550.0</v>
      </c>
      <c r="G150" s="4">
        <v>0.023210469668845247</v>
      </c>
      <c r="H150" s="4">
        <v>0.0228494623655914</v>
      </c>
      <c r="I150" s="4">
        <v>15.146079333634903</v>
      </c>
      <c r="J150" s="4">
        <v>0.6525537634408602</v>
      </c>
      <c r="K150" s="4">
        <v>133.8235294117647</v>
      </c>
      <c r="L150" s="4">
        <v>4.6858908341915555</v>
      </c>
    </row>
    <row r="151">
      <c r="A151" s="35">
        <v>45807.0</v>
      </c>
      <c r="B151" s="4">
        <v>56435.0</v>
      </c>
      <c r="C151" s="4">
        <v>1325.0</v>
      </c>
      <c r="D151" s="36">
        <v>1551.0</v>
      </c>
      <c r="E151" s="4">
        <v>26.0</v>
      </c>
      <c r="F151" s="36">
        <v>4441.0</v>
      </c>
      <c r="G151" s="4">
        <v>0.023478337910870912</v>
      </c>
      <c r="H151" s="4">
        <v>0.019622641509433963</v>
      </c>
      <c r="I151" s="4">
        <v>27.482944980951537</v>
      </c>
      <c r="J151" s="4">
        <v>1.170566037735849</v>
      </c>
      <c r="K151" s="4">
        <v>170.80769230769232</v>
      </c>
      <c r="L151" s="4">
        <v>2.8633139909735656</v>
      </c>
    </row>
    <row r="152">
      <c r="A152" s="35">
        <v>45808.0</v>
      </c>
      <c r="B152" s="4">
        <v>33813.0</v>
      </c>
      <c r="C152" s="4">
        <v>407.0</v>
      </c>
      <c r="D152" s="36">
        <v>307.0</v>
      </c>
      <c r="E152" s="4">
        <v>5.0</v>
      </c>
      <c r="F152" s="36">
        <v>902.0</v>
      </c>
      <c r="G152" s="4">
        <v>0.012036790583503387</v>
      </c>
      <c r="H152" s="4">
        <v>0.012285012285012284</v>
      </c>
      <c r="I152" s="4">
        <v>9.0793481796942</v>
      </c>
      <c r="J152" s="4">
        <v>0.7542997542997543</v>
      </c>
      <c r="K152" s="4">
        <v>180.4</v>
      </c>
      <c r="L152" s="4">
        <v>2.9381107491856677</v>
      </c>
    </row>
    <row r="153">
      <c r="A153" s="35">
        <v>45809.0</v>
      </c>
      <c r="B153" s="4">
        <v>66532.0</v>
      </c>
      <c r="C153" s="4">
        <v>1613.0</v>
      </c>
      <c r="D153" s="36">
        <v>1095.0</v>
      </c>
      <c r="E153" s="4">
        <v>24.0</v>
      </c>
      <c r="F153" s="36">
        <v>3337.0</v>
      </c>
      <c r="G153" s="4">
        <v>0.024243972825106715</v>
      </c>
      <c r="H153" s="4">
        <v>0.014879107253564786</v>
      </c>
      <c r="I153" s="4">
        <v>16.45824565622558</v>
      </c>
      <c r="J153" s="4">
        <v>0.6788592684438933</v>
      </c>
      <c r="K153" s="4">
        <v>139.04166666666666</v>
      </c>
      <c r="L153" s="4">
        <v>3.047488584474886</v>
      </c>
    </row>
    <row r="154">
      <c r="A154" s="35">
        <v>45810.0</v>
      </c>
      <c r="B154" s="4">
        <v>103974.0</v>
      </c>
      <c r="C154" s="4">
        <v>2068.0</v>
      </c>
      <c r="D154" s="36">
        <v>2821.0</v>
      </c>
      <c r="E154" s="4">
        <v>52.0</v>
      </c>
      <c r="F154" s="36">
        <v>5089.0</v>
      </c>
      <c r="G154" s="4">
        <v>0.019889587781560775</v>
      </c>
      <c r="H154" s="4">
        <v>0.025145067698259187</v>
      </c>
      <c r="I154" s="4">
        <v>27.131782945736433</v>
      </c>
      <c r="J154" s="4">
        <v>1.364119922630561</v>
      </c>
      <c r="K154" s="4">
        <v>97.86538461538461</v>
      </c>
      <c r="L154" s="4">
        <v>1.803970223325062</v>
      </c>
    </row>
    <row r="155">
      <c r="A155" s="35">
        <v>45811.0</v>
      </c>
      <c r="B155" s="4">
        <v>35392.0</v>
      </c>
      <c r="C155" s="4">
        <v>676.0</v>
      </c>
      <c r="D155" s="36">
        <v>828.0</v>
      </c>
      <c r="E155" s="4">
        <v>16.0</v>
      </c>
      <c r="F155" s="36">
        <v>2889.0</v>
      </c>
      <c r="G155" s="4">
        <v>0.019100361663652803</v>
      </c>
      <c r="H155" s="4">
        <v>0.023668639053254437</v>
      </c>
      <c r="I155" s="4">
        <v>23.395117540687163</v>
      </c>
      <c r="J155" s="4">
        <v>1.2248520710059172</v>
      </c>
      <c r="K155" s="4">
        <v>180.5625</v>
      </c>
      <c r="L155" s="4">
        <v>3.489130434782609</v>
      </c>
    </row>
    <row r="156">
      <c r="A156" s="35">
        <v>45812.0</v>
      </c>
      <c r="B156" s="4">
        <v>69161.0</v>
      </c>
      <c r="C156" s="4">
        <v>1584.0</v>
      </c>
      <c r="D156" s="36">
        <v>1531.0</v>
      </c>
      <c r="E156" s="4">
        <v>37.0</v>
      </c>
      <c r="F156" s="36">
        <v>4150.0</v>
      </c>
      <c r="G156" s="4">
        <v>0.02290308121629242</v>
      </c>
      <c r="H156" s="4">
        <v>0.02335858585858586</v>
      </c>
      <c r="I156" s="4">
        <v>22.13675337256546</v>
      </c>
      <c r="J156" s="4">
        <v>0.9665404040404041</v>
      </c>
      <c r="K156" s="4">
        <v>112.16216216216216</v>
      </c>
      <c r="L156" s="4">
        <v>2.7106466361854995</v>
      </c>
    </row>
    <row r="157">
      <c r="A157" s="35">
        <v>45813.0</v>
      </c>
      <c r="B157" s="4">
        <v>80677.0</v>
      </c>
      <c r="C157" s="4">
        <v>2353.0</v>
      </c>
      <c r="D157" s="36">
        <v>1604.0</v>
      </c>
      <c r="E157" s="4">
        <v>52.0</v>
      </c>
      <c r="F157" s="36">
        <v>6829.0</v>
      </c>
      <c r="G157" s="4">
        <v>0.02916568538740905</v>
      </c>
      <c r="H157" s="4">
        <v>0.022099447513812154</v>
      </c>
      <c r="I157" s="4">
        <v>19.88175068482963</v>
      </c>
      <c r="J157" s="4">
        <v>0.6816829579260518</v>
      </c>
      <c r="K157" s="4">
        <v>131.32692307692307</v>
      </c>
      <c r="L157" s="4">
        <v>4.257481296758105</v>
      </c>
    </row>
    <row r="158">
      <c r="A158" s="35">
        <v>45814.0</v>
      </c>
      <c r="B158" s="4">
        <v>93359.0</v>
      </c>
      <c r="C158" s="4">
        <v>1868.0</v>
      </c>
      <c r="D158" s="36">
        <v>1915.0</v>
      </c>
      <c r="E158" s="4">
        <v>32.0</v>
      </c>
      <c r="F158" s="36">
        <v>4092.0</v>
      </c>
      <c r="G158" s="4">
        <v>0.02000878329887852</v>
      </c>
      <c r="H158" s="4">
        <v>0.017130620985010708</v>
      </c>
      <c r="I158" s="4">
        <v>20.512216283379214</v>
      </c>
      <c r="J158" s="4">
        <v>1.0251605995717346</v>
      </c>
      <c r="K158" s="4">
        <v>127.875</v>
      </c>
      <c r="L158" s="4">
        <v>2.1368146214099215</v>
      </c>
    </row>
    <row r="159">
      <c r="A159" s="35">
        <v>45815.0</v>
      </c>
      <c r="B159" s="4">
        <v>78392.0</v>
      </c>
      <c r="C159" s="4">
        <v>1829.0</v>
      </c>
      <c r="D159" s="36">
        <v>1556.0</v>
      </c>
      <c r="E159" s="4">
        <v>45.0</v>
      </c>
      <c r="F159" s="36">
        <v>8453.0</v>
      </c>
      <c r="G159" s="4">
        <v>0.02333146239412185</v>
      </c>
      <c r="H159" s="4">
        <v>0.024603608529250958</v>
      </c>
      <c r="I159" s="4">
        <v>19.848964180018367</v>
      </c>
      <c r="J159" s="4">
        <v>0.8507381082558775</v>
      </c>
      <c r="K159" s="4">
        <v>187.84444444444443</v>
      </c>
      <c r="L159" s="4">
        <v>5.432519280205655</v>
      </c>
    </row>
    <row r="160">
      <c r="A160" s="35">
        <v>45816.0</v>
      </c>
      <c r="B160" s="4">
        <v>107060.0</v>
      </c>
      <c r="C160" s="4">
        <v>2532.0</v>
      </c>
      <c r="D160" s="36">
        <v>2042.0</v>
      </c>
      <c r="E160" s="4">
        <v>42.0</v>
      </c>
      <c r="F160" s="36">
        <v>7701.0</v>
      </c>
      <c r="G160" s="4">
        <v>0.023650289557257613</v>
      </c>
      <c r="H160" s="4">
        <v>0.016587677725118485</v>
      </c>
      <c r="I160" s="4">
        <v>19.073416775639828</v>
      </c>
      <c r="J160" s="4">
        <v>0.806477093206951</v>
      </c>
      <c r="K160" s="4">
        <v>183.35714285714286</v>
      </c>
      <c r="L160" s="4">
        <v>3.7713026444662097</v>
      </c>
    </row>
    <row r="161">
      <c r="A161" s="35">
        <v>45817.0</v>
      </c>
      <c r="B161" s="4">
        <v>49858.0</v>
      </c>
      <c r="C161" s="4">
        <v>789.0</v>
      </c>
      <c r="D161" s="36">
        <v>770.0</v>
      </c>
      <c r="E161" s="4">
        <v>10.0</v>
      </c>
      <c r="F161" s="36">
        <v>1509.0</v>
      </c>
      <c r="G161" s="4">
        <v>0.01582494283765895</v>
      </c>
      <c r="H161" s="4">
        <v>0.012674271229404309</v>
      </c>
      <c r="I161" s="4">
        <v>15.443860564001765</v>
      </c>
      <c r="J161" s="4">
        <v>0.9759188846641318</v>
      </c>
      <c r="K161" s="4">
        <v>150.9</v>
      </c>
      <c r="L161" s="4">
        <v>1.9597402597402598</v>
      </c>
    </row>
    <row r="162">
      <c r="A162" s="35">
        <v>45818.0</v>
      </c>
      <c r="B162" s="4">
        <v>92974.0</v>
      </c>
      <c r="C162" s="4">
        <v>2773.0</v>
      </c>
      <c r="D162" s="36">
        <v>2050.0</v>
      </c>
      <c r="E162" s="4">
        <v>35.0</v>
      </c>
      <c r="F162" s="36">
        <v>5401.0</v>
      </c>
      <c r="G162" s="4">
        <v>0.02982554262481984</v>
      </c>
      <c r="H162" s="4">
        <v>0.012621709340064912</v>
      </c>
      <c r="I162" s="4">
        <v>22.049175038182717</v>
      </c>
      <c r="J162" s="4">
        <v>0.7392715470609448</v>
      </c>
      <c r="K162" s="4">
        <v>154.31428571428572</v>
      </c>
      <c r="L162" s="4">
        <v>2.6346341463414635</v>
      </c>
    </row>
    <row r="163">
      <c r="A163" s="35">
        <v>45819.0</v>
      </c>
      <c r="B163" s="4">
        <v>93927.0</v>
      </c>
      <c r="C163" s="4">
        <v>1478.0</v>
      </c>
      <c r="D163" s="36">
        <v>1062.0</v>
      </c>
      <c r="E163" s="4">
        <v>17.0</v>
      </c>
      <c r="F163" s="36">
        <v>3226.0</v>
      </c>
      <c r="G163" s="4">
        <v>0.015735624474325808</v>
      </c>
      <c r="H163" s="4">
        <v>0.011502029769959404</v>
      </c>
      <c r="I163" s="4">
        <v>11.30665303906225</v>
      </c>
      <c r="J163" s="4">
        <v>0.7185385656292287</v>
      </c>
      <c r="K163" s="4">
        <v>189.76470588235293</v>
      </c>
      <c r="L163" s="4">
        <v>3.0376647834274952</v>
      </c>
    </row>
    <row r="164">
      <c r="A164" s="35">
        <v>45820.0</v>
      </c>
      <c r="B164" s="4">
        <v>31823.0</v>
      </c>
      <c r="C164" s="4">
        <v>508.0</v>
      </c>
      <c r="D164" s="36">
        <v>351.0</v>
      </c>
      <c r="E164" s="4">
        <v>11.0</v>
      </c>
      <c r="F164" s="36">
        <v>1858.0</v>
      </c>
      <c r="G164" s="4">
        <v>0.015963296986456335</v>
      </c>
      <c r="H164" s="4">
        <v>0.021653543307086614</v>
      </c>
      <c r="I164" s="4">
        <v>11.029758350878296</v>
      </c>
      <c r="J164" s="4">
        <v>0.6909448818897638</v>
      </c>
      <c r="K164" s="4">
        <v>168.9090909090909</v>
      </c>
      <c r="L164" s="4">
        <v>5.293447293447294</v>
      </c>
    </row>
    <row r="165">
      <c r="A165" s="35">
        <v>45821.0</v>
      </c>
      <c r="B165" s="4">
        <v>59219.0</v>
      </c>
      <c r="C165" s="4">
        <v>1695.0</v>
      </c>
      <c r="D165" s="36">
        <v>2012.0</v>
      </c>
      <c r="E165" s="4">
        <v>34.0</v>
      </c>
      <c r="F165" s="36">
        <v>6351.0</v>
      </c>
      <c r="G165" s="4">
        <v>0.028622570458805452</v>
      </c>
      <c r="H165" s="4">
        <v>0.020058997050147492</v>
      </c>
      <c r="I165" s="4">
        <v>33.97558216113072</v>
      </c>
      <c r="J165" s="4">
        <v>1.1870206489675517</v>
      </c>
      <c r="K165" s="4">
        <v>186.7941176470588</v>
      </c>
      <c r="L165" s="4">
        <v>3.1565606361829026</v>
      </c>
    </row>
    <row r="166">
      <c r="A166" s="35">
        <v>45822.0</v>
      </c>
      <c r="B166" s="4">
        <v>73802.0</v>
      </c>
      <c r="C166" s="4">
        <v>1658.0</v>
      </c>
      <c r="D166" s="36">
        <v>1269.0</v>
      </c>
      <c r="E166" s="4">
        <v>25.0</v>
      </c>
      <c r="F166" s="36">
        <v>4429.0</v>
      </c>
      <c r="G166" s="4">
        <v>0.02246551583967914</v>
      </c>
      <c r="H166" s="4">
        <v>0.015078407720144753</v>
      </c>
      <c r="I166" s="4">
        <v>17.19465597138289</v>
      </c>
      <c r="J166" s="4">
        <v>0.7653799758745476</v>
      </c>
      <c r="K166" s="4">
        <v>177.16</v>
      </c>
      <c r="L166" s="4">
        <v>3.4901497241922774</v>
      </c>
    </row>
    <row r="167">
      <c r="A167" s="35">
        <v>45823.0</v>
      </c>
      <c r="B167" s="4">
        <v>88524.0</v>
      </c>
      <c r="C167" s="4">
        <v>2800.0</v>
      </c>
      <c r="D167" s="36">
        <v>2039.0</v>
      </c>
      <c r="E167" s="4">
        <v>63.0</v>
      </c>
      <c r="F167" s="36">
        <v>11252.0</v>
      </c>
      <c r="G167" s="4">
        <v>0.03162984049523293</v>
      </c>
      <c r="H167" s="4">
        <v>0.0225</v>
      </c>
      <c r="I167" s="4">
        <v>23.03330170349284</v>
      </c>
      <c r="J167" s="4">
        <v>0.7282142857142857</v>
      </c>
      <c r="K167" s="4">
        <v>178.6031746031746</v>
      </c>
      <c r="L167" s="4">
        <v>5.518391368317803</v>
      </c>
    </row>
    <row r="168">
      <c r="A168" s="35">
        <v>45824.0</v>
      </c>
      <c r="B168" s="4">
        <v>96726.0</v>
      </c>
      <c r="C168" s="4">
        <v>3424.0</v>
      </c>
      <c r="D168" s="36">
        <v>3824.0</v>
      </c>
      <c r="E168" s="4">
        <v>52.0</v>
      </c>
      <c r="F168" s="36">
        <v>7945.0</v>
      </c>
      <c r="G168" s="4">
        <v>0.03539896201641751</v>
      </c>
      <c r="H168" s="4">
        <v>0.015186915887850467</v>
      </c>
      <c r="I168" s="4">
        <v>39.53435477534479</v>
      </c>
      <c r="J168" s="4">
        <v>1.1168224299065421</v>
      </c>
      <c r="K168" s="4">
        <v>152.78846153846155</v>
      </c>
      <c r="L168" s="4">
        <v>2.0776673640167362</v>
      </c>
    </row>
    <row r="169">
      <c r="A169" s="35">
        <v>45825.0</v>
      </c>
      <c r="B169" s="4">
        <v>36420.0</v>
      </c>
      <c r="C169" s="4">
        <v>662.0</v>
      </c>
      <c r="D169" s="36">
        <v>479.0</v>
      </c>
      <c r="E169" s="4">
        <v>7.0</v>
      </c>
      <c r="F169" s="36">
        <v>1534.0</v>
      </c>
      <c r="G169" s="4">
        <v>0.018176825919824273</v>
      </c>
      <c r="H169" s="4">
        <v>0.010574018126888218</v>
      </c>
      <c r="I169" s="4">
        <v>13.15211422295442</v>
      </c>
      <c r="J169" s="4">
        <v>0.7235649546827795</v>
      </c>
      <c r="K169" s="4">
        <v>219.14285714285714</v>
      </c>
      <c r="L169" s="4">
        <v>3.2025052192066807</v>
      </c>
    </row>
    <row r="170">
      <c r="A170" s="35">
        <v>45826.0</v>
      </c>
      <c r="B170" s="4">
        <v>46221.0</v>
      </c>
      <c r="C170" s="4">
        <v>390.0</v>
      </c>
      <c r="D170" s="36">
        <v>554.0</v>
      </c>
      <c r="E170" s="4">
        <v>6.0</v>
      </c>
      <c r="F170" s="36">
        <v>1072.0</v>
      </c>
      <c r="G170" s="4">
        <v>0.008437723112870773</v>
      </c>
      <c r="H170" s="4">
        <v>0.015384615384615385</v>
      </c>
      <c r="I170" s="4">
        <v>11.985893857770277</v>
      </c>
      <c r="J170" s="4">
        <v>1.4205128205128206</v>
      </c>
      <c r="K170" s="4">
        <v>178.66666666666666</v>
      </c>
      <c r="L170" s="4">
        <v>1.9350180505415162</v>
      </c>
    </row>
    <row r="171">
      <c r="A171" s="35">
        <v>45827.0</v>
      </c>
      <c r="B171" s="4">
        <v>54089.0</v>
      </c>
      <c r="C171" s="4">
        <v>1501.0</v>
      </c>
      <c r="D171" s="36">
        <v>1190.0</v>
      </c>
      <c r="E171" s="4">
        <v>20.0</v>
      </c>
      <c r="F171" s="36">
        <v>3572.0</v>
      </c>
      <c r="G171" s="4">
        <v>0.027750559263436187</v>
      </c>
      <c r="H171" s="4">
        <v>0.013324450366422385</v>
      </c>
      <c r="I171" s="4">
        <v>22.00077649799405</v>
      </c>
      <c r="J171" s="4">
        <v>0.7928047968021319</v>
      </c>
      <c r="K171" s="4">
        <v>178.6</v>
      </c>
      <c r="L171" s="4">
        <v>3.0016806722689076</v>
      </c>
    </row>
    <row r="172">
      <c r="A172" s="35">
        <v>45828.0</v>
      </c>
      <c r="B172" s="4">
        <v>66874.0</v>
      </c>
      <c r="C172" s="4">
        <v>1626.0</v>
      </c>
      <c r="D172" s="36">
        <v>1879.0</v>
      </c>
      <c r="E172" s="4">
        <v>39.0</v>
      </c>
      <c r="F172" s="36">
        <v>6844.0</v>
      </c>
      <c r="G172" s="4">
        <v>0.024314382271136765</v>
      </c>
      <c r="H172" s="4">
        <v>0.023985239852398525</v>
      </c>
      <c r="I172" s="4">
        <v>28.097616412955706</v>
      </c>
      <c r="J172" s="4">
        <v>1.1555965559655597</v>
      </c>
      <c r="K172" s="4">
        <v>175.48717948717947</v>
      </c>
      <c r="L172" s="4">
        <v>3.6423629590207556</v>
      </c>
    </row>
    <row r="173">
      <c r="A173" s="35">
        <v>45829.0</v>
      </c>
      <c r="B173" s="4">
        <v>91720.0</v>
      </c>
      <c r="C173" s="4">
        <v>2344.0</v>
      </c>
      <c r="D173" s="36">
        <v>2869.0</v>
      </c>
      <c r="E173" s="4">
        <v>48.0</v>
      </c>
      <c r="F173" s="36">
        <v>7760.0</v>
      </c>
      <c r="G173" s="4">
        <v>0.02555604012211077</v>
      </c>
      <c r="H173" s="4">
        <v>0.020477815699658702</v>
      </c>
      <c r="I173" s="4">
        <v>31.27998255560401</v>
      </c>
      <c r="J173" s="4">
        <v>1.223976109215017</v>
      </c>
      <c r="K173" s="4">
        <v>161.66666666666666</v>
      </c>
      <c r="L173" s="4">
        <v>2.704775182990589</v>
      </c>
    </row>
    <row r="174">
      <c r="A174" s="35">
        <v>45830.0</v>
      </c>
      <c r="B174" s="4">
        <v>91964.0</v>
      </c>
      <c r="C174" s="4">
        <v>2823.0</v>
      </c>
      <c r="D174" s="36">
        <v>3160.0</v>
      </c>
      <c r="E174" s="4">
        <v>47.0</v>
      </c>
      <c r="F174" s="36">
        <v>6828.0</v>
      </c>
      <c r="G174" s="4">
        <v>0.030696794397807838</v>
      </c>
      <c r="H174" s="4">
        <v>0.01664895501239816</v>
      </c>
      <c r="I174" s="4">
        <v>34.36127180200948</v>
      </c>
      <c r="J174" s="4">
        <v>1.1193765497697485</v>
      </c>
      <c r="K174" s="4">
        <v>145.27659574468086</v>
      </c>
      <c r="L174" s="4">
        <v>2.160759493670886</v>
      </c>
    </row>
    <row r="175">
      <c r="A175" s="35">
        <v>45831.0</v>
      </c>
      <c r="B175" s="4">
        <v>70888.0</v>
      </c>
      <c r="C175" s="4">
        <v>1202.0</v>
      </c>
      <c r="D175" s="36">
        <v>1493.0</v>
      </c>
      <c r="E175" s="4">
        <v>27.0</v>
      </c>
      <c r="F175" s="36">
        <v>4778.0</v>
      </c>
      <c r="G175" s="4">
        <v>0.01695632547116578</v>
      </c>
      <c r="H175" s="4">
        <v>0.022462562396006656</v>
      </c>
      <c r="I175" s="4">
        <v>21.061392619343188</v>
      </c>
      <c r="J175" s="4">
        <v>1.2420965058236273</v>
      </c>
      <c r="K175" s="4">
        <v>176.96296296296296</v>
      </c>
      <c r="L175" s="4">
        <v>3.2002679169457466</v>
      </c>
    </row>
    <row r="176">
      <c r="A176" s="35">
        <v>45832.0</v>
      </c>
      <c r="B176" s="4">
        <v>85428.0</v>
      </c>
      <c r="C176" s="4">
        <v>930.0</v>
      </c>
      <c r="D176" s="36">
        <v>1150.0</v>
      </c>
      <c r="E176" s="4">
        <v>21.0</v>
      </c>
      <c r="F176" s="36">
        <v>2736.0</v>
      </c>
      <c r="G176" s="4">
        <v>0.010886360443882567</v>
      </c>
      <c r="H176" s="4">
        <v>0.02258064516129032</v>
      </c>
      <c r="I176" s="4">
        <v>13.461628505876293</v>
      </c>
      <c r="J176" s="4">
        <v>1.2365591397849462</v>
      </c>
      <c r="K176" s="4">
        <v>130.28571428571428</v>
      </c>
      <c r="L176" s="4">
        <v>2.3791304347826085</v>
      </c>
    </row>
    <row r="177">
      <c r="A177" s="35">
        <v>45833.0</v>
      </c>
      <c r="B177" s="4">
        <v>36396.0</v>
      </c>
      <c r="C177" s="4">
        <v>611.0</v>
      </c>
      <c r="D177" s="36">
        <v>477.0</v>
      </c>
      <c r="E177" s="4">
        <v>10.0</v>
      </c>
      <c r="F177" s="36">
        <v>1991.0</v>
      </c>
      <c r="G177" s="4">
        <v>0.016787559072425542</v>
      </c>
      <c r="H177" s="4">
        <v>0.016366612111292964</v>
      </c>
      <c r="I177" s="4">
        <v>13.105835806132543</v>
      </c>
      <c r="J177" s="4">
        <v>0.7806873977086743</v>
      </c>
      <c r="K177" s="4">
        <v>199.1</v>
      </c>
      <c r="L177" s="4">
        <v>4.174004192872117</v>
      </c>
    </row>
    <row r="178">
      <c r="A178" s="35">
        <v>45834.0</v>
      </c>
      <c r="B178" s="4">
        <v>78357.0</v>
      </c>
      <c r="C178" s="4">
        <v>1540.0</v>
      </c>
      <c r="D178" s="36">
        <v>1818.0</v>
      </c>
      <c r="E178" s="4">
        <v>33.0</v>
      </c>
      <c r="F178" s="36">
        <v>5566.0</v>
      </c>
      <c r="G178" s="4">
        <v>0.019653636560868843</v>
      </c>
      <c r="H178" s="4">
        <v>0.02142857142857143</v>
      </c>
      <c r="I178" s="4">
        <v>23.20150082315556</v>
      </c>
      <c r="J178" s="4">
        <v>1.1805194805194805</v>
      </c>
      <c r="K178" s="4">
        <v>168.66666666666666</v>
      </c>
      <c r="L178" s="4">
        <v>3.0616061606160616</v>
      </c>
    </row>
    <row r="179">
      <c r="A179" s="35">
        <v>45835.0</v>
      </c>
      <c r="B179" s="4">
        <v>39906.0</v>
      </c>
      <c r="C179" s="4">
        <v>885.0</v>
      </c>
      <c r="D179" s="36">
        <v>1028.0</v>
      </c>
      <c r="E179" s="4">
        <v>17.0</v>
      </c>
      <c r="F179" s="36">
        <v>2660.0</v>
      </c>
      <c r="G179" s="4">
        <v>0.022177116223124342</v>
      </c>
      <c r="H179" s="4">
        <v>0.0192090395480226</v>
      </c>
      <c r="I179" s="4">
        <v>25.760537262567034</v>
      </c>
      <c r="J179" s="4">
        <v>1.1615819209039548</v>
      </c>
      <c r="K179" s="4">
        <v>156.47058823529412</v>
      </c>
      <c r="L179" s="4">
        <v>2.587548638132296</v>
      </c>
    </row>
    <row r="180">
      <c r="A180" s="35">
        <v>45836.0</v>
      </c>
      <c r="B180" s="4">
        <v>36228.0</v>
      </c>
      <c r="C180" s="4">
        <v>656.0</v>
      </c>
      <c r="D180" s="36">
        <v>722.0</v>
      </c>
      <c r="E180" s="4">
        <v>11.0</v>
      </c>
      <c r="F180" s="36">
        <v>1760.0</v>
      </c>
      <c r="G180" s="4">
        <v>0.018107541128408965</v>
      </c>
      <c r="H180" s="4">
        <v>0.01676829268292683</v>
      </c>
      <c r="I180" s="4">
        <v>19.929336424864747</v>
      </c>
      <c r="J180" s="4">
        <v>1.100609756097561</v>
      </c>
      <c r="K180" s="4">
        <v>160.0</v>
      </c>
      <c r="L180" s="4">
        <v>2.4376731301939056</v>
      </c>
    </row>
    <row r="181">
      <c r="A181" s="35">
        <v>45837.0</v>
      </c>
      <c r="B181" s="4">
        <v>39763.0</v>
      </c>
      <c r="C181" s="4">
        <v>491.0</v>
      </c>
      <c r="D181" s="36">
        <v>423.0</v>
      </c>
      <c r="E181" s="4">
        <v>12.0</v>
      </c>
      <c r="F181" s="36">
        <v>1614.0</v>
      </c>
      <c r="G181" s="4">
        <v>0.012348162864974976</v>
      </c>
      <c r="H181" s="4">
        <v>0.024439918533604887</v>
      </c>
      <c r="I181" s="4">
        <v>10.638030329703493</v>
      </c>
      <c r="J181" s="4">
        <v>0.8615071283095723</v>
      </c>
      <c r="K181" s="4">
        <v>134.5</v>
      </c>
      <c r="L181" s="4">
        <v>3.8156028368794326</v>
      </c>
    </row>
    <row r="182">
      <c r="A182" s="35">
        <v>45838.0</v>
      </c>
      <c r="B182" s="4">
        <v>56341.0</v>
      </c>
      <c r="C182" s="4">
        <v>1160.0</v>
      </c>
      <c r="D182" s="36">
        <v>1524.0</v>
      </c>
      <c r="E182" s="4">
        <v>22.0</v>
      </c>
      <c r="F182" s="36">
        <v>2871.0</v>
      </c>
      <c r="G182" s="4">
        <v>0.02058891393478994</v>
      </c>
      <c r="H182" s="4">
        <v>0.01896551724137931</v>
      </c>
      <c r="I182" s="4">
        <v>27.049573135017127</v>
      </c>
      <c r="J182" s="4">
        <v>1.313793103448276</v>
      </c>
      <c r="K182" s="4">
        <v>130.5</v>
      </c>
      <c r="L182" s="4">
        <v>1.8838582677165354</v>
      </c>
    </row>
    <row r="183">
      <c r="A183" s="35">
        <v>45839.0</v>
      </c>
      <c r="B183" s="4">
        <v>102174.0</v>
      </c>
      <c r="C183" s="4">
        <v>2796.0</v>
      </c>
      <c r="D183" s="36">
        <v>2695.0</v>
      </c>
      <c r="E183" s="4">
        <v>61.0</v>
      </c>
      <c r="F183" s="36">
        <v>11073.0</v>
      </c>
      <c r="G183" s="4">
        <v>0.027365083093546304</v>
      </c>
      <c r="H183" s="4">
        <v>0.021816881258941344</v>
      </c>
      <c r="I183" s="4">
        <v>26.376573296533365</v>
      </c>
      <c r="J183" s="4">
        <v>0.9638769670958512</v>
      </c>
      <c r="K183" s="4">
        <v>181.52459016393442</v>
      </c>
      <c r="L183" s="4">
        <v>4.1087198515769945</v>
      </c>
    </row>
    <row r="184">
      <c r="A184" s="35">
        <v>45840.0</v>
      </c>
      <c r="B184" s="4">
        <v>37030.0</v>
      </c>
      <c r="C184" s="4">
        <v>905.0</v>
      </c>
      <c r="D184" s="36">
        <v>540.0</v>
      </c>
      <c r="E184" s="4">
        <v>18.0</v>
      </c>
      <c r="F184" s="36">
        <v>3241.0</v>
      </c>
      <c r="G184" s="4">
        <v>0.02443964353227113</v>
      </c>
      <c r="H184" s="4">
        <v>0.019889502762430938</v>
      </c>
      <c r="I184" s="4">
        <v>14.582770726438023</v>
      </c>
      <c r="J184" s="4">
        <v>0.5966850828729282</v>
      </c>
      <c r="K184" s="4">
        <v>180.05555555555554</v>
      </c>
      <c r="L184" s="4">
        <v>6.0018518518518515</v>
      </c>
    </row>
    <row r="185">
      <c r="A185" s="35">
        <v>45841.0</v>
      </c>
      <c r="B185" s="4">
        <v>73230.0</v>
      </c>
      <c r="C185" s="4">
        <v>1588.0</v>
      </c>
      <c r="D185" s="36">
        <v>1728.0</v>
      </c>
      <c r="E185" s="4">
        <v>20.0</v>
      </c>
      <c r="F185" s="36">
        <v>3058.0</v>
      </c>
      <c r="G185" s="4">
        <v>0.021685101734261913</v>
      </c>
      <c r="H185" s="4">
        <v>0.012594458438287154</v>
      </c>
      <c r="I185" s="4">
        <v>23.596886521917245</v>
      </c>
      <c r="J185" s="4">
        <v>1.0881612090680102</v>
      </c>
      <c r="K185" s="4">
        <v>152.9</v>
      </c>
      <c r="L185" s="4">
        <v>1.7696759259259258</v>
      </c>
    </row>
    <row r="186">
      <c r="A186" s="35">
        <v>45842.0</v>
      </c>
      <c r="B186" s="4">
        <v>84455.0</v>
      </c>
      <c r="C186" s="4">
        <v>1691.0</v>
      </c>
      <c r="D186" s="36">
        <v>1068.0</v>
      </c>
      <c r="E186" s="4">
        <v>21.0</v>
      </c>
      <c r="F186" s="36">
        <v>4326.0</v>
      </c>
      <c r="G186" s="4">
        <v>0.02002249718785152</v>
      </c>
      <c r="H186" s="4">
        <v>0.012418687167356593</v>
      </c>
      <c r="I186" s="4">
        <v>12.645787697590432</v>
      </c>
      <c r="J186" s="4">
        <v>0.631578947368421</v>
      </c>
      <c r="K186" s="4">
        <v>206.0</v>
      </c>
      <c r="L186" s="4">
        <v>4.050561797752809</v>
      </c>
    </row>
    <row r="187">
      <c r="A187" s="35">
        <v>45843.0</v>
      </c>
      <c r="B187" s="4">
        <v>92695.0</v>
      </c>
      <c r="C187" s="4">
        <v>3065.0</v>
      </c>
      <c r="D187" s="36">
        <v>2735.0</v>
      </c>
      <c r="E187" s="4">
        <v>42.0</v>
      </c>
      <c r="F187" s="36">
        <v>4995.0</v>
      </c>
      <c r="G187" s="4">
        <v>0.03306542963482389</v>
      </c>
      <c r="H187" s="4">
        <v>0.013703099510603589</v>
      </c>
      <c r="I187" s="4">
        <v>29.505367064027187</v>
      </c>
      <c r="J187" s="4">
        <v>0.8923327895595432</v>
      </c>
      <c r="K187" s="4">
        <v>118.92857142857143</v>
      </c>
      <c r="L187" s="4">
        <v>1.8263254113345522</v>
      </c>
    </row>
    <row r="188">
      <c r="A188" s="35">
        <v>45844.0</v>
      </c>
      <c r="B188" s="4">
        <v>32267.0</v>
      </c>
      <c r="C188" s="4">
        <v>687.0</v>
      </c>
      <c r="D188" s="36">
        <v>577.0</v>
      </c>
      <c r="E188" s="4">
        <v>13.0</v>
      </c>
      <c r="F188" s="36">
        <v>1117.0</v>
      </c>
      <c r="G188" s="4">
        <v>0.021291102364644994</v>
      </c>
      <c r="H188" s="4">
        <v>0.018922852983988356</v>
      </c>
      <c r="I188" s="4">
        <v>17.88204667307156</v>
      </c>
      <c r="J188" s="4">
        <v>0.8398835516739447</v>
      </c>
      <c r="K188" s="4">
        <v>85.92307692307692</v>
      </c>
      <c r="L188" s="4">
        <v>1.9358752166377817</v>
      </c>
    </row>
    <row r="189">
      <c r="A189" s="35">
        <v>45845.0</v>
      </c>
      <c r="B189" s="4">
        <v>49360.0</v>
      </c>
      <c r="C189" s="4">
        <v>1379.0</v>
      </c>
      <c r="D189" s="36">
        <v>1306.0</v>
      </c>
      <c r="E189" s="4">
        <v>33.0</v>
      </c>
      <c r="F189" s="36">
        <v>5006.0</v>
      </c>
      <c r="G189" s="4">
        <v>0.027937601296596434</v>
      </c>
      <c r="H189" s="4">
        <v>0.023930384336475707</v>
      </c>
      <c r="I189" s="4">
        <v>26.45867098865478</v>
      </c>
      <c r="J189" s="4">
        <v>0.9470630891950689</v>
      </c>
      <c r="K189" s="4">
        <v>151.6969696969697</v>
      </c>
      <c r="L189" s="4">
        <v>3.8330781010719757</v>
      </c>
    </row>
    <row r="190">
      <c r="A190" s="35">
        <v>45846.0</v>
      </c>
      <c r="B190" s="4">
        <v>89246.0</v>
      </c>
      <c r="C190" s="4">
        <v>1769.0</v>
      </c>
      <c r="D190" s="36">
        <v>2301.0</v>
      </c>
      <c r="E190" s="4">
        <v>38.0</v>
      </c>
      <c r="F190" s="36">
        <v>4229.0</v>
      </c>
      <c r="G190" s="4">
        <v>0.019821616655088182</v>
      </c>
      <c r="H190" s="4">
        <v>0.02148106274731487</v>
      </c>
      <c r="I190" s="4">
        <v>25.78266813078457</v>
      </c>
      <c r="J190" s="4">
        <v>1.3007348784624082</v>
      </c>
      <c r="K190" s="4">
        <v>111.28947368421052</v>
      </c>
      <c r="L190" s="4">
        <v>1.8378965667101261</v>
      </c>
    </row>
    <row r="191">
      <c r="A191" s="35">
        <v>45847.0</v>
      </c>
      <c r="B191" s="4">
        <v>65614.0</v>
      </c>
      <c r="C191" s="4">
        <v>1094.0</v>
      </c>
      <c r="D191" s="36">
        <v>1319.0</v>
      </c>
      <c r="E191" s="4">
        <v>22.0</v>
      </c>
      <c r="F191" s="36">
        <v>2537.0</v>
      </c>
      <c r="G191" s="4">
        <v>0.016673270948273235</v>
      </c>
      <c r="H191" s="4">
        <v>0.02010968921389397</v>
      </c>
      <c r="I191" s="4">
        <v>20.102417167068</v>
      </c>
      <c r="J191" s="4">
        <v>1.2056672760511884</v>
      </c>
      <c r="K191" s="4">
        <v>115.31818181818181</v>
      </c>
      <c r="L191" s="4">
        <v>1.9234268385140258</v>
      </c>
    </row>
    <row r="192">
      <c r="A192" s="35">
        <v>45848.0</v>
      </c>
      <c r="B192" s="4">
        <v>66173.0</v>
      </c>
      <c r="C192" s="4">
        <v>2013.0</v>
      </c>
      <c r="D192" s="36">
        <v>1615.0</v>
      </c>
      <c r="E192" s="4">
        <v>27.0</v>
      </c>
      <c r="F192" s="36">
        <v>3401.0</v>
      </c>
      <c r="G192" s="4">
        <v>0.03042026204040923</v>
      </c>
      <c r="H192" s="4">
        <v>0.013412816691505217</v>
      </c>
      <c r="I192" s="4">
        <v>24.405724389101298</v>
      </c>
      <c r="J192" s="4">
        <v>0.8022851465474417</v>
      </c>
      <c r="K192" s="4">
        <v>125.96296296296296</v>
      </c>
      <c r="L192" s="4">
        <v>2.1058823529411765</v>
      </c>
    </row>
    <row r="193">
      <c r="A193" s="35">
        <v>45849.0</v>
      </c>
      <c r="B193" s="4">
        <v>118239.0</v>
      </c>
      <c r="C193" s="4">
        <v>1749.0</v>
      </c>
      <c r="D193" s="36">
        <v>1258.0</v>
      </c>
      <c r="E193" s="4">
        <v>26.0</v>
      </c>
      <c r="F193" s="36">
        <v>4492.0</v>
      </c>
      <c r="G193" s="4">
        <v>0.014792073681272676</v>
      </c>
      <c r="H193" s="4">
        <v>0.014865637507146942</v>
      </c>
      <c r="I193" s="4">
        <v>10.63946751917726</v>
      </c>
      <c r="J193" s="4">
        <v>0.7192681532304174</v>
      </c>
      <c r="K193" s="4">
        <v>172.76923076923077</v>
      </c>
      <c r="L193" s="4">
        <v>3.5707472178060415</v>
      </c>
    </row>
    <row r="194">
      <c r="A194" s="35">
        <v>45850.0</v>
      </c>
      <c r="B194" s="4">
        <v>139914.0</v>
      </c>
      <c r="C194" s="4">
        <v>4706.0</v>
      </c>
      <c r="D194" s="36">
        <v>3189.0</v>
      </c>
      <c r="E194" s="4">
        <v>94.0</v>
      </c>
      <c r="F194" s="36">
        <v>15597.0</v>
      </c>
      <c r="G194" s="4">
        <v>0.03363494718184027</v>
      </c>
      <c r="H194" s="4">
        <v>0.01997450063748406</v>
      </c>
      <c r="I194" s="4">
        <v>22.792572580299325</v>
      </c>
      <c r="J194" s="4">
        <v>0.6776455588610285</v>
      </c>
      <c r="K194" s="4">
        <v>165.9255319148936</v>
      </c>
      <c r="L194" s="4">
        <v>4.890874882408278</v>
      </c>
    </row>
    <row r="195">
      <c r="A195" s="35">
        <v>45851.0</v>
      </c>
      <c r="B195" s="4">
        <v>62911.0</v>
      </c>
      <c r="C195" s="4">
        <v>1666.0</v>
      </c>
      <c r="D195" s="36">
        <v>1635.0</v>
      </c>
      <c r="E195" s="4">
        <v>31.0</v>
      </c>
      <c r="F195" s="36">
        <v>7171.0</v>
      </c>
      <c r="G195" s="4">
        <v>0.026481855319419496</v>
      </c>
      <c r="H195" s="4">
        <v>0.018607442977190875</v>
      </c>
      <c r="I195" s="4">
        <v>25.98909570663318</v>
      </c>
      <c r="J195" s="4">
        <v>0.9813925570228091</v>
      </c>
      <c r="K195" s="4">
        <v>231.32258064516128</v>
      </c>
      <c r="L195" s="4">
        <v>4.385932721712538</v>
      </c>
    </row>
    <row r="196">
      <c r="A196" s="35">
        <v>45852.0</v>
      </c>
      <c r="B196" s="4">
        <v>84932.0</v>
      </c>
      <c r="C196" s="4">
        <v>1185.0</v>
      </c>
      <c r="D196" s="36">
        <v>975.0</v>
      </c>
      <c r="E196" s="4">
        <v>22.0</v>
      </c>
      <c r="F196" s="36">
        <v>3680.0</v>
      </c>
      <c r="G196" s="4">
        <v>0.013952338341261245</v>
      </c>
      <c r="H196" s="4">
        <v>0.018565400843881856</v>
      </c>
      <c r="I196" s="4">
        <v>11.479772052936466</v>
      </c>
      <c r="J196" s="4">
        <v>0.8227848101265823</v>
      </c>
      <c r="K196" s="4">
        <v>167.27272727272728</v>
      </c>
      <c r="L196" s="4">
        <v>3.7743589743589743</v>
      </c>
    </row>
    <row r="197">
      <c r="A197" s="35">
        <v>45853.0</v>
      </c>
      <c r="B197" s="4">
        <v>93609.0</v>
      </c>
      <c r="C197" s="4">
        <v>1602.0</v>
      </c>
      <c r="D197" s="36">
        <v>1872.0</v>
      </c>
      <c r="E197" s="4">
        <v>35.0</v>
      </c>
      <c r="F197" s="36">
        <v>5424.0</v>
      </c>
      <c r="G197" s="4">
        <v>0.01711373906355158</v>
      </c>
      <c r="H197" s="4">
        <v>0.02184769038701623</v>
      </c>
      <c r="I197" s="4">
        <v>19.99807710797039</v>
      </c>
      <c r="J197" s="4">
        <v>1.1685393258426966</v>
      </c>
      <c r="K197" s="4">
        <v>154.97142857142856</v>
      </c>
      <c r="L197" s="4">
        <v>2.8974358974358974</v>
      </c>
    </row>
    <row r="198">
      <c r="A198" s="35">
        <v>45854.0</v>
      </c>
      <c r="B198" s="4">
        <v>124150.0</v>
      </c>
      <c r="C198" s="4">
        <v>3419.0</v>
      </c>
      <c r="D198" s="36">
        <v>2803.0</v>
      </c>
      <c r="E198" s="4">
        <v>76.0</v>
      </c>
      <c r="F198" s="36">
        <v>11638.0</v>
      </c>
      <c r="G198" s="4">
        <v>0.027539267015706807</v>
      </c>
      <c r="H198" s="4">
        <v>0.022228721848493713</v>
      </c>
      <c r="I198" s="4">
        <v>22.57752718485703</v>
      </c>
      <c r="J198" s="4">
        <v>0.8198303597543142</v>
      </c>
      <c r="K198" s="4">
        <v>153.1315789473684</v>
      </c>
      <c r="L198" s="4">
        <v>4.151980021405636</v>
      </c>
    </row>
    <row r="199">
      <c r="A199" s="35">
        <v>45855.0</v>
      </c>
      <c r="B199" s="4">
        <v>74860.0</v>
      </c>
      <c r="C199" s="4">
        <v>1800.0</v>
      </c>
      <c r="D199" s="36">
        <v>1707.0</v>
      </c>
      <c r="E199" s="4">
        <v>30.0</v>
      </c>
      <c r="F199" s="36">
        <v>5678.0</v>
      </c>
      <c r="G199" s="4">
        <v>0.024044883783061716</v>
      </c>
      <c r="H199" s="4">
        <v>0.016666666666666666</v>
      </c>
      <c r="I199" s="4">
        <v>22.802564787603526</v>
      </c>
      <c r="J199" s="4">
        <v>0.9483333333333334</v>
      </c>
      <c r="K199" s="4">
        <v>189.26666666666668</v>
      </c>
      <c r="L199" s="4">
        <v>3.3263034563561806</v>
      </c>
    </row>
    <row r="200">
      <c r="A200" s="35">
        <v>45856.0</v>
      </c>
      <c r="B200" s="4">
        <v>96309.0</v>
      </c>
      <c r="C200" s="4">
        <v>2515.0</v>
      </c>
      <c r="D200" s="36">
        <v>2606.0</v>
      </c>
      <c r="E200" s="4">
        <v>30.0</v>
      </c>
      <c r="F200" s="36">
        <v>3485.0</v>
      </c>
      <c r="G200" s="4">
        <v>0.026113862671193762</v>
      </c>
      <c r="H200" s="4">
        <v>0.011928429423459244</v>
      </c>
      <c r="I200" s="4">
        <v>27.058738020330395</v>
      </c>
      <c r="J200" s="4">
        <v>1.036182902584493</v>
      </c>
      <c r="K200" s="4">
        <v>116.16666666666667</v>
      </c>
      <c r="L200" s="4">
        <v>1.3372985418265542</v>
      </c>
    </row>
    <row r="201">
      <c r="A201" s="35">
        <v>45857.0</v>
      </c>
      <c r="B201" s="4">
        <v>48436.0</v>
      </c>
      <c r="C201" s="4">
        <v>780.0</v>
      </c>
      <c r="D201" s="36">
        <v>460.0</v>
      </c>
      <c r="E201" s="4">
        <v>15.0</v>
      </c>
      <c r="F201" s="36">
        <v>2100.0</v>
      </c>
      <c r="G201" s="4">
        <v>0.016103724502436204</v>
      </c>
      <c r="H201" s="4">
        <v>0.019230769230769232</v>
      </c>
      <c r="I201" s="4">
        <v>9.49706829630853</v>
      </c>
      <c r="J201" s="4">
        <v>0.5897435897435898</v>
      </c>
      <c r="K201" s="4">
        <v>140.0</v>
      </c>
      <c r="L201" s="4">
        <v>4.565217391304348</v>
      </c>
    </row>
    <row r="202">
      <c r="A202" s="35">
        <v>45858.0</v>
      </c>
      <c r="B202" s="4">
        <v>53788.0</v>
      </c>
      <c r="C202" s="4">
        <v>1405.0</v>
      </c>
      <c r="D202" s="36">
        <v>1194.0</v>
      </c>
      <c r="E202" s="4">
        <v>21.0</v>
      </c>
      <c r="F202" s="36">
        <v>3537.0</v>
      </c>
      <c r="G202" s="4">
        <v>0.026121067896185023</v>
      </c>
      <c r="H202" s="4">
        <v>0.01494661921708185</v>
      </c>
      <c r="I202" s="4">
        <v>22.198259834907415</v>
      </c>
      <c r="J202" s="4">
        <v>0.8498220640569395</v>
      </c>
      <c r="K202" s="4">
        <v>168.42857142857142</v>
      </c>
      <c r="L202" s="4">
        <v>2.9623115577889445</v>
      </c>
    </row>
    <row r="203">
      <c r="A203" s="35">
        <v>45859.0</v>
      </c>
      <c r="B203" s="4">
        <v>44345.0</v>
      </c>
      <c r="C203" s="4">
        <v>439.0</v>
      </c>
      <c r="D203" s="36">
        <v>314.0</v>
      </c>
      <c r="E203" s="4">
        <v>9.0</v>
      </c>
      <c r="F203" s="36">
        <v>1294.0</v>
      </c>
      <c r="G203" s="4">
        <v>0.009899650467921975</v>
      </c>
      <c r="H203" s="4">
        <v>0.02050113895216401</v>
      </c>
      <c r="I203" s="4">
        <v>7.0808433870785885</v>
      </c>
      <c r="J203" s="4">
        <v>0.715261958997722</v>
      </c>
      <c r="K203" s="4">
        <v>143.77777777777777</v>
      </c>
      <c r="L203" s="4">
        <v>4.1210191082802545</v>
      </c>
    </row>
    <row r="204">
      <c r="A204" s="35">
        <v>45860.0</v>
      </c>
      <c r="B204" s="4">
        <v>42269.0</v>
      </c>
      <c r="C204" s="4">
        <v>592.0</v>
      </c>
      <c r="D204" s="36">
        <v>628.0</v>
      </c>
      <c r="E204" s="4">
        <v>7.0</v>
      </c>
      <c r="F204" s="36">
        <v>908.0</v>
      </c>
      <c r="G204" s="4">
        <v>0.014005535971988928</v>
      </c>
      <c r="H204" s="4">
        <v>0.011824324324324325</v>
      </c>
      <c r="I204" s="4">
        <v>14.857223970285553</v>
      </c>
      <c r="J204" s="4">
        <v>1.0608108108108107</v>
      </c>
      <c r="K204" s="4">
        <v>129.71428571428572</v>
      </c>
      <c r="L204" s="4">
        <v>1.4458598726114649</v>
      </c>
    </row>
    <row r="205">
      <c r="A205" s="35">
        <v>45861.0</v>
      </c>
      <c r="B205" s="4">
        <v>36574.0</v>
      </c>
      <c r="C205" s="4">
        <v>612.0</v>
      </c>
      <c r="D205" s="36">
        <v>607.0</v>
      </c>
      <c r="E205" s="4">
        <v>10.0</v>
      </c>
      <c r="F205" s="36">
        <v>2569.0</v>
      </c>
      <c r="G205" s="4">
        <v>0.016733198446984197</v>
      </c>
      <c r="H205" s="4">
        <v>0.016339869281045753</v>
      </c>
      <c r="I205" s="4">
        <v>16.596489309345436</v>
      </c>
      <c r="J205" s="4">
        <v>0.9918300653594772</v>
      </c>
      <c r="K205" s="4">
        <v>256.9</v>
      </c>
      <c r="L205" s="4">
        <v>4.2322899505766065</v>
      </c>
    </row>
    <row r="206">
      <c r="A206" s="35">
        <v>45862.0</v>
      </c>
      <c r="B206" s="4">
        <v>126874.0</v>
      </c>
      <c r="C206" s="4">
        <v>2860.0</v>
      </c>
      <c r="D206" s="36">
        <v>1895.0</v>
      </c>
      <c r="E206" s="4">
        <v>49.0</v>
      </c>
      <c r="F206" s="36">
        <v>6114.0</v>
      </c>
      <c r="G206" s="4">
        <v>0.022542049592509102</v>
      </c>
      <c r="H206" s="4">
        <v>0.017132867132867134</v>
      </c>
      <c r="I206" s="4">
        <v>14.936078313917744</v>
      </c>
      <c r="J206" s="4">
        <v>0.6625874125874126</v>
      </c>
      <c r="K206" s="4">
        <v>124.77551020408163</v>
      </c>
      <c r="L206" s="4">
        <v>3.226385224274406</v>
      </c>
    </row>
    <row r="207">
      <c r="A207" s="35">
        <v>45863.0</v>
      </c>
      <c r="B207" s="4">
        <v>56370.0</v>
      </c>
      <c r="C207" s="4">
        <v>625.0</v>
      </c>
      <c r="D207" s="36">
        <v>436.0</v>
      </c>
      <c r="E207" s="4">
        <v>11.0</v>
      </c>
      <c r="F207" s="36">
        <v>2595.0</v>
      </c>
      <c r="G207" s="4">
        <v>0.011087457867660104</v>
      </c>
      <c r="H207" s="4">
        <v>0.0176</v>
      </c>
      <c r="I207" s="4">
        <v>7.734610608479688</v>
      </c>
      <c r="J207" s="4">
        <v>0.6976</v>
      </c>
      <c r="K207" s="4">
        <v>235.9090909090909</v>
      </c>
      <c r="L207" s="4">
        <v>5.951834862385321</v>
      </c>
    </row>
    <row r="208">
      <c r="A208" s="35">
        <v>45864.0</v>
      </c>
      <c r="B208" s="4">
        <v>35524.0</v>
      </c>
      <c r="C208" s="4">
        <v>543.0</v>
      </c>
      <c r="D208" s="36">
        <v>466.0</v>
      </c>
      <c r="E208" s="4">
        <v>13.0</v>
      </c>
      <c r="F208" s="36">
        <v>1746.0</v>
      </c>
      <c r="G208" s="4">
        <v>0.015285440828735503</v>
      </c>
      <c r="H208" s="4">
        <v>0.02394106813996317</v>
      </c>
      <c r="I208" s="4">
        <v>13.117892129264723</v>
      </c>
      <c r="J208" s="4">
        <v>0.858195211786372</v>
      </c>
      <c r="K208" s="4">
        <v>134.30769230769232</v>
      </c>
      <c r="L208" s="4">
        <v>3.7467811158798283</v>
      </c>
    </row>
    <row r="209">
      <c r="A209" s="35">
        <v>45865.0</v>
      </c>
      <c r="B209" s="4">
        <v>85624.0</v>
      </c>
      <c r="C209" s="4">
        <v>2615.0</v>
      </c>
      <c r="D209" s="36">
        <v>2503.0</v>
      </c>
      <c r="E209" s="4">
        <v>28.0</v>
      </c>
      <c r="F209" s="36">
        <v>4628.0</v>
      </c>
      <c r="G209" s="4">
        <v>0.030540502662804822</v>
      </c>
      <c r="H209" s="4">
        <v>0.010707456978967494</v>
      </c>
      <c r="I209" s="4">
        <v>29.232458189292725</v>
      </c>
      <c r="J209" s="4">
        <v>0.95717017208413</v>
      </c>
      <c r="K209" s="4">
        <v>165.28571428571428</v>
      </c>
      <c r="L209" s="4">
        <v>1.8489812225329605</v>
      </c>
    </row>
    <row r="210">
      <c r="A210" s="35">
        <v>45866.0</v>
      </c>
      <c r="B210" s="4">
        <v>114146.0</v>
      </c>
      <c r="C210" s="4">
        <v>1953.0</v>
      </c>
      <c r="D210" s="36">
        <v>1745.0</v>
      </c>
      <c r="E210" s="4">
        <v>35.0</v>
      </c>
      <c r="F210" s="36">
        <v>3609.0</v>
      </c>
      <c r="G210" s="4">
        <v>0.01710966656737862</v>
      </c>
      <c r="H210" s="4">
        <v>0.017921146953405017</v>
      </c>
      <c r="I210" s="4">
        <v>15.287438894047973</v>
      </c>
      <c r="J210" s="4">
        <v>0.8934971838197645</v>
      </c>
      <c r="K210" s="4">
        <v>103.11428571428571</v>
      </c>
      <c r="L210" s="4">
        <v>2.068194842406877</v>
      </c>
    </row>
    <row r="211">
      <c r="A211" s="35">
        <v>45867.0</v>
      </c>
      <c r="B211" s="4">
        <v>60645.0</v>
      </c>
      <c r="C211" s="4">
        <v>1643.0</v>
      </c>
      <c r="D211" s="36">
        <v>1032.0</v>
      </c>
      <c r="E211" s="4">
        <v>25.0</v>
      </c>
      <c r="F211" s="36">
        <v>4414.0</v>
      </c>
      <c r="G211" s="4">
        <v>0.02709209333003545</v>
      </c>
      <c r="H211" s="4">
        <v>0.015216068167985392</v>
      </c>
      <c r="I211" s="4">
        <v>17.01706653475142</v>
      </c>
      <c r="J211" s="4">
        <v>0.628119293974437</v>
      </c>
      <c r="K211" s="4">
        <v>176.56</v>
      </c>
      <c r="L211" s="4">
        <v>4.2771317829457365</v>
      </c>
    </row>
    <row r="212">
      <c r="A212" s="35">
        <v>45868.0</v>
      </c>
      <c r="B212" s="4">
        <v>72672.0</v>
      </c>
      <c r="C212" s="4">
        <v>1264.0</v>
      </c>
      <c r="D212" s="36">
        <v>843.0</v>
      </c>
      <c r="E212" s="4">
        <v>20.0</v>
      </c>
      <c r="F212" s="36">
        <v>3847.0</v>
      </c>
      <c r="G212" s="4">
        <v>0.017393218846323204</v>
      </c>
      <c r="H212" s="4">
        <v>0.015822784810126583</v>
      </c>
      <c r="I212" s="4">
        <v>11.60006605019815</v>
      </c>
      <c r="J212" s="4">
        <v>0.6669303797468354</v>
      </c>
      <c r="K212" s="4">
        <v>192.35</v>
      </c>
      <c r="L212" s="4">
        <v>4.563463819691577</v>
      </c>
    </row>
    <row r="213">
      <c r="A213" s="35">
        <v>45869.0</v>
      </c>
      <c r="B213" s="4">
        <v>56801.0</v>
      </c>
      <c r="C213" s="4">
        <v>1344.0</v>
      </c>
      <c r="D213" s="36">
        <v>1488.0</v>
      </c>
      <c r="E213" s="4">
        <v>27.0</v>
      </c>
      <c r="F213" s="36">
        <v>4700.0</v>
      </c>
      <c r="G213" s="4">
        <v>0.023661555254308905</v>
      </c>
      <c r="H213" s="4">
        <v>0.020089285714285716</v>
      </c>
      <c r="I213" s="4">
        <v>26.19672188869914</v>
      </c>
      <c r="J213" s="4">
        <v>1.1071428571428572</v>
      </c>
      <c r="K213" s="4">
        <v>174.07407407407408</v>
      </c>
      <c r="L213" s="4">
        <v>3.1586021505376345</v>
      </c>
    </row>
    <row r="214">
      <c r="A214" s="35">
        <v>45870.0</v>
      </c>
      <c r="B214" s="4">
        <v>72010.0</v>
      </c>
      <c r="C214" s="4">
        <v>1347.0</v>
      </c>
      <c r="D214" s="36">
        <v>990.0</v>
      </c>
      <c r="E214" s="4">
        <v>19.0</v>
      </c>
      <c r="F214" s="36">
        <v>3600.0</v>
      </c>
      <c r="G214" s="4">
        <v>0.01870573531453965</v>
      </c>
      <c r="H214" s="4">
        <v>0.014105419450631032</v>
      </c>
      <c r="I214" s="4">
        <v>13.74809054298014</v>
      </c>
      <c r="J214" s="4">
        <v>0.734966592427617</v>
      </c>
      <c r="K214" s="4">
        <v>189.47368421052633</v>
      </c>
      <c r="L214" s="4">
        <v>3.6363636363636362</v>
      </c>
    </row>
    <row r="215">
      <c r="A215" s="35">
        <v>45871.0</v>
      </c>
      <c r="B215" s="4">
        <v>86525.0</v>
      </c>
      <c r="C215" s="4">
        <v>1406.0</v>
      </c>
      <c r="D215" s="36">
        <v>843.0</v>
      </c>
      <c r="E215" s="4">
        <v>29.0</v>
      </c>
      <c r="F215" s="36">
        <v>3621.0</v>
      </c>
      <c r="G215" s="4">
        <v>0.01624963883270731</v>
      </c>
      <c r="H215" s="4">
        <v>0.020625889046941678</v>
      </c>
      <c r="I215" s="4">
        <v>9.742848887604739</v>
      </c>
      <c r="J215" s="4">
        <v>0.5995732574679943</v>
      </c>
      <c r="K215" s="4">
        <v>124.86206896551724</v>
      </c>
      <c r="L215" s="4">
        <v>4.295373665480427</v>
      </c>
    </row>
    <row r="216">
      <c r="A216" s="35">
        <v>45872.0</v>
      </c>
      <c r="B216" s="4">
        <v>107947.0</v>
      </c>
      <c r="C216" s="4">
        <v>3227.0</v>
      </c>
      <c r="D216" s="36">
        <v>2650.0</v>
      </c>
      <c r="E216" s="4">
        <v>71.0</v>
      </c>
      <c r="F216" s="36">
        <v>9944.0</v>
      </c>
      <c r="G216" s="4">
        <v>0.029894299980546008</v>
      </c>
      <c r="H216" s="4">
        <v>0.02200185931205454</v>
      </c>
      <c r="I216" s="4">
        <v>24.549084272837597</v>
      </c>
      <c r="J216" s="4">
        <v>0.821196157421754</v>
      </c>
      <c r="K216" s="4">
        <v>140.05633802816902</v>
      </c>
      <c r="L216" s="4">
        <v>3.752452830188679</v>
      </c>
    </row>
    <row r="217">
      <c r="A217" s="35">
        <v>45873.0</v>
      </c>
      <c r="B217" s="4">
        <v>59452.0</v>
      </c>
      <c r="C217" s="4">
        <v>1316.0</v>
      </c>
      <c r="D217" s="36">
        <v>1191.0</v>
      </c>
      <c r="E217" s="4">
        <v>20.0</v>
      </c>
      <c r="F217" s="36">
        <v>3230.0</v>
      </c>
      <c r="G217" s="4">
        <v>0.022135504272354167</v>
      </c>
      <c r="H217" s="4">
        <v>0.015197568389057751</v>
      </c>
      <c r="I217" s="4">
        <v>20.03296777232053</v>
      </c>
      <c r="J217" s="4">
        <v>0.9050151975683891</v>
      </c>
      <c r="K217" s="4">
        <v>161.5</v>
      </c>
      <c r="L217" s="4">
        <v>2.7120067170445004</v>
      </c>
    </row>
    <row r="218">
      <c r="A218" s="35">
        <v>45874.0</v>
      </c>
      <c r="B218" s="4">
        <v>68815.0</v>
      </c>
      <c r="C218" s="4">
        <v>1319.0</v>
      </c>
      <c r="D218" s="36">
        <v>1205.0</v>
      </c>
      <c r="E218" s="4">
        <v>24.0</v>
      </c>
      <c r="F218" s="36">
        <v>3088.0</v>
      </c>
      <c r="G218" s="4">
        <v>0.019167332703625663</v>
      </c>
      <c r="H218" s="4">
        <v>0.01819560272934041</v>
      </c>
      <c r="I218" s="4">
        <v>17.5107171401584</v>
      </c>
      <c r="J218" s="4">
        <v>0.913570887035633</v>
      </c>
      <c r="K218" s="4">
        <v>128.66666666666666</v>
      </c>
      <c r="L218" s="4">
        <v>2.5626556016597513</v>
      </c>
    </row>
    <row r="219">
      <c r="A219" s="35">
        <v>45875.0</v>
      </c>
      <c r="B219" s="4">
        <v>68158.0</v>
      </c>
      <c r="C219" s="4">
        <v>930.0</v>
      </c>
      <c r="D219" s="36">
        <v>576.0</v>
      </c>
      <c r="E219" s="4">
        <v>22.0</v>
      </c>
      <c r="F219" s="36">
        <v>2774.0</v>
      </c>
      <c r="G219" s="4">
        <v>0.013644766571789079</v>
      </c>
      <c r="H219" s="4">
        <v>0.023655913978494623</v>
      </c>
      <c r="I219" s="4">
        <v>8.450952199301623</v>
      </c>
      <c r="J219" s="4">
        <v>0.6193548387096774</v>
      </c>
      <c r="K219" s="4">
        <v>126.0909090909091</v>
      </c>
      <c r="L219" s="4">
        <v>4.815972222222222</v>
      </c>
    </row>
    <row r="220">
      <c r="A220" s="35">
        <v>45876.0</v>
      </c>
      <c r="B220" s="4">
        <v>91525.0</v>
      </c>
      <c r="C220" s="4">
        <v>2754.0</v>
      </c>
      <c r="D220" s="36">
        <v>3285.0</v>
      </c>
      <c r="E220" s="4">
        <v>73.0</v>
      </c>
      <c r="F220" s="36">
        <v>11727.0</v>
      </c>
      <c r="G220" s="4">
        <v>0.03009013930620049</v>
      </c>
      <c r="H220" s="4">
        <v>0.026506899055918662</v>
      </c>
      <c r="I220" s="4">
        <v>35.89183283255941</v>
      </c>
      <c r="J220" s="4">
        <v>1.1928104575163399</v>
      </c>
      <c r="K220" s="4">
        <v>160.64383561643837</v>
      </c>
      <c r="L220" s="4">
        <v>3.56986301369863</v>
      </c>
    </row>
    <row r="221">
      <c r="A221" s="35">
        <v>45877.0</v>
      </c>
      <c r="B221" s="4">
        <v>146038.0</v>
      </c>
      <c r="C221" s="4">
        <v>2784.0</v>
      </c>
      <c r="D221" s="36">
        <v>1756.0</v>
      </c>
      <c r="E221" s="4">
        <v>54.0</v>
      </c>
      <c r="F221" s="36">
        <v>6610.0</v>
      </c>
      <c r="G221" s="4">
        <v>0.01906353140963311</v>
      </c>
      <c r="H221" s="4">
        <v>0.01939655172413793</v>
      </c>
      <c r="I221" s="4">
        <v>12.024267656363412</v>
      </c>
      <c r="J221" s="4">
        <v>0.6307471264367817</v>
      </c>
      <c r="K221" s="4">
        <v>122.4074074074074</v>
      </c>
      <c r="L221" s="4">
        <v>3.764236902050114</v>
      </c>
    </row>
    <row r="222">
      <c r="A222" s="35">
        <v>45878.0</v>
      </c>
      <c r="B222" s="4">
        <v>55344.0</v>
      </c>
      <c r="C222" s="4">
        <v>549.0</v>
      </c>
      <c r="D222" s="36">
        <v>378.0</v>
      </c>
      <c r="E222" s="4">
        <v>13.0</v>
      </c>
      <c r="F222" s="36">
        <v>1627.0</v>
      </c>
      <c r="G222" s="4">
        <v>0.009919774501300955</v>
      </c>
      <c r="H222" s="4">
        <v>0.023679417122040074</v>
      </c>
      <c r="I222" s="4">
        <v>6.830008673026886</v>
      </c>
      <c r="J222" s="4">
        <v>0.6885245901639344</v>
      </c>
      <c r="K222" s="4">
        <v>125.15384615384616</v>
      </c>
      <c r="L222" s="4">
        <v>4.304232804232805</v>
      </c>
    </row>
    <row r="223">
      <c r="A223" s="35">
        <v>45879.0</v>
      </c>
      <c r="B223" s="4">
        <v>81320.0</v>
      </c>
      <c r="C223" s="4">
        <v>1666.0</v>
      </c>
      <c r="D223" s="36">
        <v>2066.0</v>
      </c>
      <c r="E223" s="4">
        <v>22.0</v>
      </c>
      <c r="F223" s="36">
        <v>3387.0</v>
      </c>
      <c r="G223" s="4">
        <v>0.02048696507624201</v>
      </c>
      <c r="H223" s="4">
        <v>0.013205282112845138</v>
      </c>
      <c r="I223" s="4">
        <v>25.40580423020167</v>
      </c>
      <c r="J223" s="4">
        <v>1.240096038415366</v>
      </c>
      <c r="K223" s="4">
        <v>153.95454545454547</v>
      </c>
      <c r="L223" s="4">
        <v>1.6393998063891577</v>
      </c>
    </row>
    <row r="224">
      <c r="A224" s="35">
        <v>45880.0</v>
      </c>
      <c r="B224" s="4">
        <v>111175.0</v>
      </c>
      <c r="C224" s="4">
        <v>1872.0</v>
      </c>
      <c r="D224" s="36">
        <v>1598.0</v>
      </c>
      <c r="E224" s="4">
        <v>40.0</v>
      </c>
      <c r="F224" s="36">
        <v>4464.0</v>
      </c>
      <c r="G224" s="4">
        <v>0.016838317967168878</v>
      </c>
      <c r="H224" s="4">
        <v>0.021367521367521368</v>
      </c>
      <c r="I224" s="4">
        <v>14.373735102316168</v>
      </c>
      <c r="J224" s="4">
        <v>0.8536324786324786</v>
      </c>
      <c r="K224" s="4">
        <v>111.6</v>
      </c>
      <c r="L224" s="4">
        <v>2.7934918648310387</v>
      </c>
    </row>
    <row r="225">
      <c r="A225" s="35">
        <v>45881.0</v>
      </c>
      <c r="B225" s="4">
        <v>35994.0</v>
      </c>
      <c r="C225" s="4">
        <v>437.0</v>
      </c>
      <c r="D225" s="36">
        <v>518.0</v>
      </c>
      <c r="E225" s="4">
        <v>8.0</v>
      </c>
      <c r="F225" s="36">
        <v>1701.0</v>
      </c>
      <c r="G225" s="4">
        <v>0.012140912374284604</v>
      </c>
      <c r="H225" s="4">
        <v>0.018306636155606407</v>
      </c>
      <c r="I225" s="4">
        <v>14.391287436795022</v>
      </c>
      <c r="J225" s="4">
        <v>1.1853546910755148</v>
      </c>
      <c r="K225" s="4">
        <v>212.625</v>
      </c>
      <c r="L225" s="4">
        <v>3.2837837837837838</v>
      </c>
    </row>
    <row r="226">
      <c r="A226" s="35">
        <v>45882.0</v>
      </c>
      <c r="B226" s="4">
        <v>79584.0</v>
      </c>
      <c r="C226" s="4">
        <v>1166.0</v>
      </c>
      <c r="D226" s="36">
        <v>939.0</v>
      </c>
      <c r="E226" s="4">
        <v>13.0</v>
      </c>
      <c r="F226" s="36">
        <v>1572.0</v>
      </c>
      <c r="G226" s="4">
        <v>0.014651186168073985</v>
      </c>
      <c r="H226" s="4">
        <v>0.011149228130360206</v>
      </c>
      <c r="I226" s="4">
        <v>11.798854041013268</v>
      </c>
      <c r="J226" s="4">
        <v>0.8053173241852487</v>
      </c>
      <c r="K226" s="4">
        <v>120.92307692307692</v>
      </c>
      <c r="L226" s="4">
        <v>1.6741214057507987</v>
      </c>
    </row>
    <row r="227">
      <c r="A227" s="35">
        <v>45883.0</v>
      </c>
      <c r="B227" s="4">
        <v>134124.0</v>
      </c>
      <c r="C227" s="4">
        <v>3565.0</v>
      </c>
      <c r="D227" s="36">
        <v>2409.0</v>
      </c>
      <c r="E227" s="4">
        <v>62.0</v>
      </c>
      <c r="F227" s="36">
        <v>11986.0</v>
      </c>
      <c r="G227" s="4">
        <v>0.026579881303868062</v>
      </c>
      <c r="H227" s="4">
        <v>0.017391304347826087</v>
      </c>
      <c r="I227" s="4">
        <v>17.96099132146372</v>
      </c>
      <c r="J227" s="4">
        <v>0.6757363253856943</v>
      </c>
      <c r="K227" s="4">
        <v>193.32258064516128</v>
      </c>
      <c r="L227" s="4">
        <v>4.975508509755085</v>
      </c>
    </row>
    <row r="228">
      <c r="A228" s="35">
        <v>45884.0</v>
      </c>
      <c r="B228" s="4">
        <v>106541.0</v>
      </c>
      <c r="C228" s="4">
        <v>3467.0</v>
      </c>
      <c r="D228" s="36">
        <v>3364.0</v>
      </c>
      <c r="E228" s="4">
        <v>43.0</v>
      </c>
      <c r="F228" s="36">
        <v>6003.0</v>
      </c>
      <c r="G228" s="4">
        <v>0.03254146291099201</v>
      </c>
      <c r="H228" s="4">
        <v>0.012402653591000866</v>
      </c>
      <c r="I228" s="4">
        <v>31.57469894219127</v>
      </c>
      <c r="J228" s="4">
        <v>0.9702913181424863</v>
      </c>
      <c r="K228" s="4">
        <v>139.6046511627907</v>
      </c>
      <c r="L228" s="4">
        <v>1.7844827586206897</v>
      </c>
    </row>
    <row r="229">
      <c r="A229" s="35">
        <v>45885.0</v>
      </c>
      <c r="B229" s="4">
        <v>55197.0</v>
      </c>
      <c r="C229" s="4">
        <v>1303.0</v>
      </c>
      <c r="D229" s="36">
        <v>720.0</v>
      </c>
      <c r="E229" s="4">
        <v>12.0</v>
      </c>
      <c r="F229" s="36">
        <v>2471.0</v>
      </c>
      <c r="G229" s="4">
        <v>0.023606355417866914</v>
      </c>
      <c r="H229" s="4">
        <v>0.00920951650038373</v>
      </c>
      <c r="I229" s="4">
        <v>13.044187184086093</v>
      </c>
      <c r="J229" s="4">
        <v>0.5525709900230238</v>
      </c>
      <c r="K229" s="4">
        <v>205.91666666666666</v>
      </c>
      <c r="L229" s="4">
        <v>3.4319444444444445</v>
      </c>
    </row>
    <row r="230">
      <c r="A230" s="35">
        <v>45886.0</v>
      </c>
      <c r="B230" s="4">
        <v>127402.0</v>
      </c>
      <c r="C230" s="4">
        <v>1857.0</v>
      </c>
      <c r="D230" s="36">
        <v>1873.0</v>
      </c>
      <c r="E230" s="4">
        <v>37.0</v>
      </c>
      <c r="F230" s="36">
        <v>5628.0</v>
      </c>
      <c r="G230" s="4">
        <v>0.0145759093263842</v>
      </c>
      <c r="H230" s="4">
        <v>0.01992460958535272</v>
      </c>
      <c r="I230" s="4">
        <v>14.701496051867318</v>
      </c>
      <c r="J230" s="4">
        <v>1.0086160473882606</v>
      </c>
      <c r="K230" s="4">
        <v>152.1081081081081</v>
      </c>
      <c r="L230" s="4">
        <v>3.004805125467165</v>
      </c>
    </row>
    <row r="231">
      <c r="A231" s="35">
        <v>45887.0</v>
      </c>
      <c r="B231" s="4">
        <v>97472.0</v>
      </c>
      <c r="C231" s="4">
        <v>2158.0</v>
      </c>
      <c r="D231" s="36">
        <v>2018.0</v>
      </c>
      <c r="E231" s="4">
        <v>54.0</v>
      </c>
      <c r="F231" s="36">
        <v>8260.0</v>
      </c>
      <c r="G231" s="4">
        <v>0.022139691398555483</v>
      </c>
      <c r="H231" s="4">
        <v>0.025023169601482854</v>
      </c>
      <c r="I231" s="4">
        <v>20.70338148391333</v>
      </c>
      <c r="J231" s="4">
        <v>0.9351251158480074</v>
      </c>
      <c r="K231" s="4">
        <v>152.96296296296296</v>
      </c>
      <c r="L231" s="4">
        <v>4.093161546085233</v>
      </c>
    </row>
    <row r="232">
      <c r="A232" s="35">
        <v>45888.0</v>
      </c>
      <c r="B232" s="4">
        <v>32607.0</v>
      </c>
      <c r="C232" s="4">
        <v>432.0</v>
      </c>
      <c r="D232" s="36">
        <v>359.0</v>
      </c>
      <c r="E232" s="4">
        <v>8.0</v>
      </c>
      <c r="F232" s="36">
        <v>1067.0</v>
      </c>
      <c r="G232" s="4">
        <v>0.013248688931824454</v>
      </c>
      <c r="H232" s="4">
        <v>0.018518518518518517</v>
      </c>
      <c r="I232" s="4">
        <v>11.009905848437453</v>
      </c>
      <c r="J232" s="4">
        <v>0.8310185185185185</v>
      </c>
      <c r="K232" s="4">
        <v>133.375</v>
      </c>
      <c r="L232" s="4">
        <v>2.9721448467966574</v>
      </c>
    </row>
    <row r="233">
      <c r="A233" s="35">
        <v>45889.0</v>
      </c>
      <c r="B233" s="4">
        <v>29963.0</v>
      </c>
      <c r="C233" s="4">
        <v>453.0</v>
      </c>
      <c r="D233" s="36">
        <v>441.0</v>
      </c>
      <c r="E233" s="4">
        <v>6.0</v>
      </c>
      <c r="F233" s="36">
        <v>911.0</v>
      </c>
      <c r="G233" s="4">
        <v>0.015118646330474252</v>
      </c>
      <c r="H233" s="4">
        <v>0.013245033112582781</v>
      </c>
      <c r="I233" s="4">
        <v>14.718152387945132</v>
      </c>
      <c r="J233" s="4">
        <v>0.9735099337748344</v>
      </c>
      <c r="K233" s="4">
        <v>151.83333333333334</v>
      </c>
      <c r="L233" s="4">
        <v>2.0657596371882088</v>
      </c>
    </row>
    <row r="234">
      <c r="A234" s="35">
        <v>45890.0</v>
      </c>
      <c r="B234" s="4">
        <v>27710.0</v>
      </c>
      <c r="C234" s="4">
        <v>284.0</v>
      </c>
      <c r="D234" s="36">
        <v>195.0</v>
      </c>
      <c r="E234" s="4">
        <v>3.0</v>
      </c>
      <c r="F234" s="36">
        <v>1143.0</v>
      </c>
      <c r="G234" s="4">
        <v>0.01024900757849152</v>
      </c>
      <c r="H234" s="4">
        <v>0.01056338028169014</v>
      </c>
      <c r="I234" s="4">
        <v>7.037170696499459</v>
      </c>
      <c r="J234" s="4">
        <v>0.6866197183098591</v>
      </c>
      <c r="K234" s="4">
        <v>381.0</v>
      </c>
      <c r="L234" s="4">
        <v>5.861538461538461</v>
      </c>
    </row>
    <row r="235">
      <c r="A235" s="35">
        <v>45891.0</v>
      </c>
      <c r="B235" s="4">
        <v>76252.0</v>
      </c>
      <c r="C235" s="4">
        <v>2156.0</v>
      </c>
      <c r="D235" s="36">
        <v>2121.0</v>
      </c>
      <c r="E235" s="4">
        <v>25.0</v>
      </c>
      <c r="F235" s="36">
        <v>5304.0</v>
      </c>
      <c r="G235" s="4">
        <v>0.02827466820542412</v>
      </c>
      <c r="H235" s="4">
        <v>0.011595547309833023</v>
      </c>
      <c r="I235" s="4">
        <v>27.81566385143996</v>
      </c>
      <c r="J235" s="4">
        <v>0.9837662337662337</v>
      </c>
      <c r="K235" s="4">
        <v>212.16</v>
      </c>
      <c r="L235" s="4">
        <v>2.500707213578501</v>
      </c>
    </row>
    <row r="236">
      <c r="A236" s="35">
        <v>45892.0</v>
      </c>
      <c r="B236" s="4">
        <v>125503.0</v>
      </c>
      <c r="C236" s="4">
        <v>3915.0</v>
      </c>
      <c r="D236" s="36">
        <v>2247.0</v>
      </c>
      <c r="E236" s="4">
        <v>53.0</v>
      </c>
      <c r="F236" s="36">
        <v>8839.0</v>
      </c>
      <c r="G236" s="4">
        <v>0.031194473438881938</v>
      </c>
      <c r="H236" s="4">
        <v>0.013537675606641124</v>
      </c>
      <c r="I236" s="4">
        <v>17.903954487143736</v>
      </c>
      <c r="J236" s="4">
        <v>0.5739463601532567</v>
      </c>
      <c r="K236" s="4">
        <v>166.77358490566039</v>
      </c>
      <c r="L236" s="4">
        <v>3.9336893635959056</v>
      </c>
    </row>
    <row r="237">
      <c r="A237" s="35">
        <v>45893.0</v>
      </c>
      <c r="B237" s="4">
        <v>47190.0</v>
      </c>
      <c r="C237" s="4">
        <v>1025.0</v>
      </c>
      <c r="D237" s="36">
        <v>751.0</v>
      </c>
      <c r="E237" s="4">
        <v>24.0</v>
      </c>
      <c r="F237" s="36">
        <v>3415.0</v>
      </c>
      <c r="G237" s="4">
        <v>0.021720703538885357</v>
      </c>
      <c r="H237" s="4">
        <v>0.023414634146341463</v>
      </c>
      <c r="I237" s="4">
        <v>15.914388641661368</v>
      </c>
      <c r="J237" s="4">
        <v>0.7326829268292683</v>
      </c>
      <c r="K237" s="4">
        <v>142.29166666666666</v>
      </c>
      <c r="L237" s="4">
        <v>4.547270306258322</v>
      </c>
    </row>
    <row r="238">
      <c r="A238" s="35">
        <v>45894.0</v>
      </c>
      <c r="B238" s="4">
        <v>125100.0</v>
      </c>
      <c r="C238" s="4">
        <v>1989.0</v>
      </c>
      <c r="D238" s="36">
        <v>2401.0</v>
      </c>
      <c r="E238" s="4">
        <v>39.0</v>
      </c>
      <c r="F238" s="36">
        <v>7186.0</v>
      </c>
      <c r="G238" s="4">
        <v>0.01589928057553957</v>
      </c>
      <c r="H238" s="4">
        <v>0.0196078431372549</v>
      </c>
      <c r="I238" s="4">
        <v>19.192645883293366</v>
      </c>
      <c r="J238" s="4">
        <v>1.2071392659627953</v>
      </c>
      <c r="K238" s="4">
        <v>184.25641025641025</v>
      </c>
      <c r="L238" s="4">
        <v>2.9929196168263226</v>
      </c>
    </row>
    <row r="239">
      <c r="A239" s="35">
        <v>45895.0</v>
      </c>
      <c r="B239" s="4">
        <v>119812.0</v>
      </c>
      <c r="C239" s="4">
        <v>1838.0</v>
      </c>
      <c r="D239" s="36">
        <v>1998.0</v>
      </c>
      <c r="E239" s="4">
        <v>38.0</v>
      </c>
      <c r="F239" s="36">
        <v>6247.0</v>
      </c>
      <c r="G239" s="4">
        <v>0.015340700430674724</v>
      </c>
      <c r="H239" s="4">
        <v>0.020674646354733407</v>
      </c>
      <c r="I239" s="4">
        <v>16.676125930624647</v>
      </c>
      <c r="J239" s="4">
        <v>1.087051142546246</v>
      </c>
      <c r="K239" s="4">
        <v>164.39473684210526</v>
      </c>
      <c r="L239" s="4">
        <v>3.1266266266266265</v>
      </c>
    </row>
    <row r="240">
      <c r="A240" s="35">
        <v>45896.0</v>
      </c>
      <c r="B240" s="4">
        <v>88306.0</v>
      </c>
      <c r="C240" s="4">
        <v>2385.0</v>
      </c>
      <c r="D240" s="36">
        <v>2099.0</v>
      </c>
      <c r="E240" s="4">
        <v>40.0</v>
      </c>
      <c r="F240" s="36">
        <v>4749.0</v>
      </c>
      <c r="G240" s="4">
        <v>0.027008357303014516</v>
      </c>
      <c r="H240" s="4">
        <v>0.016771488469601678</v>
      </c>
      <c r="I240" s="4">
        <v>23.76961927841823</v>
      </c>
      <c r="J240" s="4">
        <v>0.880083857442348</v>
      </c>
      <c r="K240" s="4">
        <v>118.725</v>
      </c>
      <c r="L240" s="4">
        <v>2.2625059552167697</v>
      </c>
    </row>
    <row r="241">
      <c r="A241" s="35">
        <v>45897.0</v>
      </c>
      <c r="B241" s="4">
        <v>44544.0</v>
      </c>
      <c r="C241" s="4">
        <v>617.0</v>
      </c>
      <c r="D241" s="36">
        <v>610.0</v>
      </c>
      <c r="E241" s="4">
        <v>6.0</v>
      </c>
      <c r="F241" s="36">
        <v>1000.0</v>
      </c>
      <c r="G241" s="4">
        <v>0.013851472701149425</v>
      </c>
      <c r="H241" s="4">
        <v>0.009724473257698542</v>
      </c>
      <c r="I241" s="4">
        <v>13.694324712643677</v>
      </c>
      <c r="J241" s="4">
        <v>0.9886547811993517</v>
      </c>
      <c r="K241" s="4">
        <v>166.66666666666666</v>
      </c>
      <c r="L241" s="4">
        <v>1.639344262295082</v>
      </c>
    </row>
    <row r="242">
      <c r="A242" s="35">
        <v>45898.0</v>
      </c>
      <c r="B242" s="4">
        <v>74391.0</v>
      </c>
      <c r="C242" s="4">
        <v>1039.0</v>
      </c>
      <c r="D242" s="36">
        <v>757.0</v>
      </c>
      <c r="E242" s="4">
        <v>21.0</v>
      </c>
      <c r="F242" s="36">
        <v>3654.0</v>
      </c>
      <c r="G242" s="4">
        <v>0.013966743288838703</v>
      </c>
      <c r="H242" s="4">
        <v>0.02021174205967276</v>
      </c>
      <c r="I242" s="4">
        <v>10.175962145958517</v>
      </c>
      <c r="J242" s="4">
        <v>0.7285851780558229</v>
      </c>
      <c r="K242" s="4">
        <v>174.0</v>
      </c>
      <c r="L242" s="4">
        <v>4.826948480845442</v>
      </c>
    </row>
    <row r="243">
      <c r="A243" s="35">
        <v>45899.0</v>
      </c>
      <c r="B243" s="4">
        <v>32545.0</v>
      </c>
      <c r="C243" s="4">
        <v>472.0</v>
      </c>
      <c r="D243" s="36">
        <v>518.0</v>
      </c>
      <c r="E243" s="4">
        <v>7.0</v>
      </c>
      <c r="F243" s="36">
        <v>984.0</v>
      </c>
      <c r="G243" s="4">
        <v>0.014502995851897373</v>
      </c>
      <c r="H243" s="4">
        <v>0.014830508474576272</v>
      </c>
      <c r="I243" s="4">
        <v>15.91642341373483</v>
      </c>
      <c r="J243" s="4">
        <v>1.097457627118644</v>
      </c>
      <c r="K243" s="4">
        <v>140.57142857142858</v>
      </c>
      <c r="L243" s="4">
        <v>1.8996138996138996</v>
      </c>
    </row>
    <row r="244">
      <c r="A244" s="35">
        <v>45900.0</v>
      </c>
      <c r="B244" s="4">
        <v>106510.0</v>
      </c>
      <c r="C244" s="4">
        <v>2180.0</v>
      </c>
      <c r="D244" s="36">
        <v>1230.0</v>
      </c>
      <c r="E244" s="4">
        <v>30.0</v>
      </c>
      <c r="F244" s="36">
        <v>4652.0</v>
      </c>
      <c r="G244" s="4">
        <v>0.020467561731292837</v>
      </c>
      <c r="H244" s="4">
        <v>0.013761467889908258</v>
      </c>
      <c r="I244" s="4">
        <v>11.548211435545959</v>
      </c>
      <c r="J244" s="4">
        <v>0.5642201834862385</v>
      </c>
      <c r="K244" s="4">
        <v>155.06666666666666</v>
      </c>
      <c r="L244" s="4">
        <v>3.7821138211382115</v>
      </c>
    </row>
    <row r="245">
      <c r="A245" s="35">
        <v>45901.0</v>
      </c>
      <c r="B245" s="4">
        <v>94494.0</v>
      </c>
      <c r="C245" s="4">
        <v>1522.0</v>
      </c>
      <c r="D245" s="36">
        <v>2116.0</v>
      </c>
      <c r="E245" s="4">
        <v>35.0</v>
      </c>
      <c r="F245" s="36">
        <v>3754.0</v>
      </c>
      <c r="G245" s="4">
        <v>0.01610684276250344</v>
      </c>
      <c r="H245" s="4">
        <v>0.022996057818659658</v>
      </c>
      <c r="I245" s="4">
        <v>22.392956166529093</v>
      </c>
      <c r="J245" s="4">
        <v>1.390275952693824</v>
      </c>
      <c r="K245" s="4">
        <v>107.25714285714285</v>
      </c>
      <c r="L245" s="4">
        <v>1.774102079395085</v>
      </c>
    </row>
    <row r="246">
      <c r="A246" s="35">
        <v>45902.0</v>
      </c>
      <c r="B246" s="4">
        <v>70589.0</v>
      </c>
      <c r="C246" s="4">
        <v>1611.0</v>
      </c>
      <c r="D246" s="36">
        <v>1136.0</v>
      </c>
      <c r="E246" s="4">
        <v>33.0</v>
      </c>
      <c r="F246" s="36">
        <v>3128.0</v>
      </c>
      <c r="G246" s="4">
        <v>0.022822252758928446</v>
      </c>
      <c r="H246" s="4">
        <v>0.020484171322160148</v>
      </c>
      <c r="I246" s="4">
        <v>16.0931589907776</v>
      </c>
      <c r="J246" s="4">
        <v>0.7051520794537555</v>
      </c>
      <c r="K246" s="4">
        <v>94.78787878787878</v>
      </c>
      <c r="L246" s="4">
        <v>2.7535211267605635</v>
      </c>
    </row>
    <row r="247">
      <c r="A247" s="35">
        <v>45903.0</v>
      </c>
      <c r="B247" s="4">
        <v>29665.0</v>
      </c>
      <c r="C247" s="4">
        <v>700.0</v>
      </c>
      <c r="D247" s="36">
        <v>604.0</v>
      </c>
      <c r="E247" s="4">
        <v>8.0</v>
      </c>
      <c r="F247" s="36">
        <v>1551.0</v>
      </c>
      <c r="G247" s="4">
        <v>0.023596831282656328</v>
      </c>
      <c r="H247" s="4">
        <v>0.011428571428571429</v>
      </c>
      <c r="I247" s="4">
        <v>20.36069442103489</v>
      </c>
      <c r="J247" s="4">
        <v>0.8628571428571429</v>
      </c>
      <c r="K247" s="4">
        <v>193.875</v>
      </c>
      <c r="L247" s="4">
        <v>2.5678807947019866</v>
      </c>
    </row>
    <row r="248">
      <c r="A248" s="35">
        <v>45904.0</v>
      </c>
      <c r="B248" s="4">
        <v>99274.0</v>
      </c>
      <c r="C248" s="4">
        <v>3436.0</v>
      </c>
      <c r="D248" s="36">
        <v>2446.0</v>
      </c>
      <c r="E248" s="4">
        <v>60.0</v>
      </c>
      <c r="F248" s="36">
        <v>10108.0</v>
      </c>
      <c r="G248" s="4">
        <v>0.03461127787738985</v>
      </c>
      <c r="H248" s="4">
        <v>0.017462165308498253</v>
      </c>
      <c r="I248" s="4">
        <v>24.638878256139574</v>
      </c>
      <c r="J248" s="4">
        <v>0.7118742724097789</v>
      </c>
      <c r="K248" s="4">
        <v>168.46666666666667</v>
      </c>
      <c r="L248" s="4">
        <v>4.132461161079314</v>
      </c>
    </row>
    <row r="249">
      <c r="A249" s="35">
        <v>45905.0</v>
      </c>
      <c r="B249" s="4">
        <v>101197.0</v>
      </c>
      <c r="C249" s="4">
        <v>2414.0</v>
      </c>
      <c r="D249" s="36">
        <v>2677.0</v>
      </c>
      <c r="E249" s="4">
        <v>41.0</v>
      </c>
      <c r="F249" s="36">
        <v>8241.0</v>
      </c>
      <c r="G249" s="4">
        <v>0.023854462088797098</v>
      </c>
      <c r="H249" s="4">
        <v>0.016984258492129246</v>
      </c>
      <c r="I249" s="4">
        <v>26.453353360277475</v>
      </c>
      <c r="J249" s="4">
        <v>1.1089478044739023</v>
      </c>
      <c r="K249" s="4">
        <v>201.0</v>
      </c>
      <c r="L249" s="4">
        <v>3.078446021666044</v>
      </c>
    </row>
    <row r="250">
      <c r="A250" s="35">
        <v>45906.0</v>
      </c>
      <c r="B250" s="4">
        <v>47386.0</v>
      </c>
      <c r="C250" s="4">
        <v>1122.0</v>
      </c>
      <c r="D250" s="36">
        <v>1286.0</v>
      </c>
      <c r="E250" s="4">
        <v>13.0</v>
      </c>
      <c r="F250" s="36">
        <v>2790.0</v>
      </c>
      <c r="G250" s="4">
        <v>0.023677879542480903</v>
      </c>
      <c r="H250" s="4">
        <v>0.011586452762923352</v>
      </c>
      <c r="I250" s="4">
        <v>27.138817372219645</v>
      </c>
      <c r="J250" s="4">
        <v>1.1461675579322639</v>
      </c>
      <c r="K250" s="4">
        <v>214.6153846153846</v>
      </c>
      <c r="L250" s="4">
        <v>2.1695178849144634</v>
      </c>
    </row>
    <row r="251">
      <c r="A251" s="35">
        <v>45907.0</v>
      </c>
      <c r="B251" s="4">
        <v>28728.0</v>
      </c>
      <c r="C251" s="4">
        <v>257.0</v>
      </c>
      <c r="D251" s="36">
        <v>303.0</v>
      </c>
      <c r="E251" s="4">
        <v>2.0</v>
      </c>
      <c r="F251" s="36">
        <v>455.0</v>
      </c>
      <c r="G251" s="4">
        <v>0.008945976051239209</v>
      </c>
      <c r="H251" s="4">
        <v>0.007782101167315175</v>
      </c>
      <c r="I251" s="4">
        <v>10.54720133667502</v>
      </c>
      <c r="J251" s="4">
        <v>1.178988326848249</v>
      </c>
      <c r="K251" s="4">
        <v>227.5</v>
      </c>
      <c r="L251" s="4">
        <v>1.5016501650165017</v>
      </c>
    </row>
    <row r="252">
      <c r="A252" s="35">
        <v>45908.0</v>
      </c>
      <c r="B252" s="4">
        <v>54726.0</v>
      </c>
      <c r="C252" s="4">
        <v>777.0</v>
      </c>
      <c r="D252" s="36">
        <v>820.0</v>
      </c>
      <c r="E252" s="4">
        <v>20.0</v>
      </c>
      <c r="F252" s="36">
        <v>3113.0</v>
      </c>
      <c r="G252" s="4">
        <v>0.01419800460475825</v>
      </c>
      <c r="H252" s="4">
        <v>0.02574002574002574</v>
      </c>
      <c r="I252" s="4">
        <v>14.983737163322735</v>
      </c>
      <c r="J252" s="4">
        <v>1.0553410553410554</v>
      </c>
      <c r="K252" s="4">
        <v>155.65</v>
      </c>
      <c r="L252" s="4">
        <v>3.796341463414634</v>
      </c>
    </row>
    <row r="253">
      <c r="A253" s="35">
        <v>45909.0</v>
      </c>
      <c r="B253" s="4">
        <v>25895.0</v>
      </c>
      <c r="C253" s="4">
        <v>517.0</v>
      </c>
      <c r="D253" s="36">
        <v>353.0</v>
      </c>
      <c r="E253" s="4">
        <v>6.0</v>
      </c>
      <c r="F253" s="36">
        <v>1067.0</v>
      </c>
      <c r="G253" s="4">
        <v>0.01996524425564781</v>
      </c>
      <c r="H253" s="4">
        <v>0.01160541586073501</v>
      </c>
      <c r="I253" s="4">
        <v>13.631975284804016</v>
      </c>
      <c r="J253" s="4">
        <v>0.6827852998065764</v>
      </c>
      <c r="K253" s="4">
        <v>177.83333333333334</v>
      </c>
      <c r="L253" s="4">
        <v>3.0226628895184136</v>
      </c>
    </row>
    <row r="254">
      <c r="A254" s="35">
        <v>45910.0</v>
      </c>
      <c r="B254" s="4">
        <v>75927.0</v>
      </c>
      <c r="C254" s="4">
        <v>1465.0</v>
      </c>
      <c r="D254" s="36">
        <v>1883.0</v>
      </c>
      <c r="E254" s="4">
        <v>25.0</v>
      </c>
      <c r="F254" s="36">
        <v>3475.0</v>
      </c>
      <c r="G254" s="4">
        <v>0.01929484899969708</v>
      </c>
      <c r="H254" s="4">
        <v>0.017064846416382253</v>
      </c>
      <c r="I254" s="4">
        <v>24.800136973672082</v>
      </c>
      <c r="J254" s="4">
        <v>1.2853242320819112</v>
      </c>
      <c r="K254" s="4">
        <v>139.0</v>
      </c>
      <c r="L254" s="4">
        <v>1.8454593733404143</v>
      </c>
    </row>
    <row r="255">
      <c r="A255" s="35">
        <v>45911.0</v>
      </c>
      <c r="B255" s="4">
        <v>78245.0</v>
      </c>
      <c r="C255" s="4">
        <v>764.0</v>
      </c>
      <c r="D255" s="36">
        <v>800.0</v>
      </c>
      <c r="E255" s="4">
        <v>19.0</v>
      </c>
      <c r="F255" s="36">
        <v>3453.0</v>
      </c>
      <c r="G255" s="4">
        <v>0.009764202185443159</v>
      </c>
      <c r="H255" s="4">
        <v>0.024869109947643978</v>
      </c>
      <c r="I255" s="4">
        <v>10.224295482139434</v>
      </c>
      <c r="J255" s="4">
        <v>1.0471204188481675</v>
      </c>
      <c r="K255" s="4">
        <v>181.73684210526315</v>
      </c>
      <c r="L255" s="4">
        <v>4.31625</v>
      </c>
    </row>
    <row r="256">
      <c r="A256" s="35">
        <v>45912.0</v>
      </c>
      <c r="B256" s="4">
        <v>59778.0</v>
      </c>
      <c r="C256" s="4">
        <v>923.0</v>
      </c>
      <c r="D256" s="36">
        <v>833.0</v>
      </c>
      <c r="E256" s="4">
        <v>16.0</v>
      </c>
      <c r="F256" s="36">
        <v>2848.0</v>
      </c>
      <c r="G256" s="4">
        <v>0.015440463046605775</v>
      </c>
      <c r="H256" s="4">
        <v>0.01733477789815818</v>
      </c>
      <c r="I256" s="4">
        <v>13.934892435344107</v>
      </c>
      <c r="J256" s="4">
        <v>0.9024918743228603</v>
      </c>
      <c r="K256" s="4">
        <v>178.0</v>
      </c>
      <c r="L256" s="4">
        <v>3.418967587034814</v>
      </c>
    </row>
    <row r="257">
      <c r="A257" s="35">
        <v>45913.0</v>
      </c>
      <c r="B257" s="4">
        <v>105615.0</v>
      </c>
      <c r="C257" s="4">
        <v>1765.0</v>
      </c>
      <c r="D257" s="36">
        <v>1363.0</v>
      </c>
      <c r="E257" s="4">
        <v>47.0</v>
      </c>
      <c r="F257" s="36">
        <v>6743.0</v>
      </c>
      <c r="G257" s="4">
        <v>0.016711641338824978</v>
      </c>
      <c r="H257" s="4">
        <v>0.026628895184135977</v>
      </c>
      <c r="I257" s="4">
        <v>12.905363821426882</v>
      </c>
      <c r="J257" s="4">
        <v>0.7722379603399433</v>
      </c>
      <c r="K257" s="4">
        <v>143.46808510638297</v>
      </c>
      <c r="L257" s="4">
        <v>4.947175348495965</v>
      </c>
    </row>
    <row r="258">
      <c r="A258" s="35">
        <v>45914.0</v>
      </c>
      <c r="B258" s="4">
        <v>98643.0</v>
      </c>
      <c r="C258" s="4">
        <v>2265.0</v>
      </c>
      <c r="D258" s="36">
        <v>1679.0</v>
      </c>
      <c r="E258" s="4">
        <v>50.0</v>
      </c>
      <c r="F258" s="36">
        <v>8539.0</v>
      </c>
      <c r="G258" s="4">
        <v>0.022961588759465953</v>
      </c>
      <c r="H258" s="4">
        <v>0.02207505518763797</v>
      </c>
      <c r="I258" s="4">
        <v>17.02097462567035</v>
      </c>
      <c r="J258" s="4">
        <v>0.741280353200883</v>
      </c>
      <c r="K258" s="4">
        <v>170.78</v>
      </c>
      <c r="L258" s="4">
        <v>5.085765336509827</v>
      </c>
    </row>
    <row r="259">
      <c r="A259" s="35">
        <v>45915.0</v>
      </c>
      <c r="B259" s="4">
        <v>63590.0</v>
      </c>
      <c r="C259" s="4">
        <v>732.0</v>
      </c>
      <c r="D259" s="36">
        <v>730.0</v>
      </c>
      <c r="E259" s="4">
        <v>9.0</v>
      </c>
      <c r="F259" s="36">
        <v>1334.0</v>
      </c>
      <c r="G259" s="4">
        <v>0.011511243906274572</v>
      </c>
      <c r="H259" s="4">
        <v>0.012295081967213115</v>
      </c>
      <c r="I259" s="4">
        <v>11.479792420191854</v>
      </c>
      <c r="J259" s="4">
        <v>0.9972677595628415</v>
      </c>
      <c r="K259" s="4">
        <v>148.22222222222223</v>
      </c>
      <c r="L259" s="4">
        <v>1.8273972602739725</v>
      </c>
    </row>
    <row r="260">
      <c r="A260" s="35">
        <v>45916.0</v>
      </c>
      <c r="B260" s="4">
        <v>68572.0</v>
      </c>
      <c r="C260" s="4">
        <v>1670.0</v>
      </c>
      <c r="D260" s="36">
        <v>1896.0</v>
      </c>
      <c r="E260" s="4">
        <v>23.0</v>
      </c>
      <c r="F260" s="36">
        <v>4124.0</v>
      </c>
      <c r="G260" s="4">
        <v>0.024353963716969025</v>
      </c>
      <c r="H260" s="4">
        <v>0.013772455089820359</v>
      </c>
      <c r="I260" s="4">
        <v>27.64976958525346</v>
      </c>
      <c r="J260" s="4">
        <v>1.1353293413173653</v>
      </c>
      <c r="K260" s="4">
        <v>179.30434782608697</v>
      </c>
      <c r="L260" s="4">
        <v>2.1751054852320677</v>
      </c>
    </row>
    <row r="261">
      <c r="A261" s="35">
        <v>45917.0</v>
      </c>
      <c r="B261" s="4">
        <v>46975.0</v>
      </c>
      <c r="C261" s="4">
        <v>711.0</v>
      </c>
      <c r="D261" s="36">
        <v>744.0</v>
      </c>
      <c r="E261" s="4">
        <v>13.0</v>
      </c>
      <c r="F261" s="36">
        <v>1710.0</v>
      </c>
      <c r="G261" s="4">
        <v>0.01513571048430016</v>
      </c>
      <c r="H261" s="4">
        <v>0.01828410689170183</v>
      </c>
      <c r="I261" s="4">
        <v>15.838211814795104</v>
      </c>
      <c r="J261" s="4">
        <v>1.0464135021097047</v>
      </c>
      <c r="K261" s="4">
        <v>131.53846153846155</v>
      </c>
      <c r="L261" s="4">
        <v>2.2983870967741935</v>
      </c>
    </row>
    <row r="262">
      <c r="A262" s="35">
        <v>45918.0</v>
      </c>
      <c r="B262" s="4">
        <v>23787.0</v>
      </c>
      <c r="C262" s="4">
        <v>225.0</v>
      </c>
      <c r="D262" s="36">
        <v>261.0</v>
      </c>
      <c r="E262" s="4">
        <v>3.0</v>
      </c>
      <c r="F262" s="36">
        <v>665.0</v>
      </c>
      <c r="G262" s="4">
        <v>0.009458948164964056</v>
      </c>
      <c r="H262" s="4">
        <v>0.013333333333333334</v>
      </c>
      <c r="I262" s="4">
        <v>10.972379871358307</v>
      </c>
      <c r="J262" s="4">
        <v>1.16</v>
      </c>
      <c r="K262" s="4">
        <v>221.66666666666666</v>
      </c>
      <c r="L262" s="4">
        <v>2.5478927203065136</v>
      </c>
    </row>
    <row r="263">
      <c r="A263" s="35">
        <v>45919.0</v>
      </c>
      <c r="B263" s="4">
        <v>24284.0</v>
      </c>
      <c r="C263" s="4">
        <v>168.0</v>
      </c>
      <c r="D263" s="36">
        <v>222.0</v>
      </c>
      <c r="E263" s="4">
        <v>2.0</v>
      </c>
      <c r="F263" s="36">
        <v>333.0</v>
      </c>
      <c r="G263" s="4">
        <v>0.006918135397792785</v>
      </c>
      <c r="H263" s="4">
        <v>0.011904761904761904</v>
      </c>
      <c r="I263" s="4">
        <v>9.141821775654751</v>
      </c>
      <c r="J263" s="4">
        <v>1.3214285714285714</v>
      </c>
      <c r="K263" s="4">
        <v>166.5</v>
      </c>
      <c r="L263" s="4">
        <v>1.5</v>
      </c>
    </row>
    <row r="264">
      <c r="A264" s="35">
        <v>45920.0</v>
      </c>
      <c r="B264" s="4">
        <v>20373.0</v>
      </c>
      <c r="C264" s="4">
        <v>171.0</v>
      </c>
      <c r="D264" s="36">
        <v>214.0</v>
      </c>
      <c r="E264" s="4">
        <v>3.0</v>
      </c>
      <c r="F264" s="36">
        <v>550.0</v>
      </c>
      <c r="G264" s="4">
        <v>0.008393461934913856</v>
      </c>
      <c r="H264" s="4">
        <v>0.017543859649122806</v>
      </c>
      <c r="I264" s="4">
        <v>10.504098561822019</v>
      </c>
      <c r="J264" s="4">
        <v>1.2514619883040936</v>
      </c>
      <c r="K264" s="4">
        <v>183.33333333333334</v>
      </c>
      <c r="L264" s="4">
        <v>2.5700934579439254</v>
      </c>
    </row>
    <row r="265">
      <c r="A265" s="35">
        <v>45921.0</v>
      </c>
      <c r="B265" s="4">
        <v>107000.0</v>
      </c>
      <c r="C265" s="4">
        <v>1702.0</v>
      </c>
      <c r="D265" s="36">
        <v>1597.0</v>
      </c>
      <c r="E265" s="4">
        <v>30.0</v>
      </c>
      <c r="F265" s="36">
        <v>4962.0</v>
      </c>
      <c r="G265" s="4">
        <v>0.015906542056074766</v>
      </c>
      <c r="H265" s="4">
        <v>0.01762632197414806</v>
      </c>
      <c r="I265" s="4">
        <v>14.925233644859812</v>
      </c>
      <c r="J265" s="4">
        <v>0.9383078730904818</v>
      </c>
      <c r="K265" s="4">
        <v>165.4</v>
      </c>
      <c r="L265" s="4">
        <v>3.1070757670632436</v>
      </c>
    </row>
    <row r="266">
      <c r="A266" s="35">
        <v>45922.0</v>
      </c>
      <c r="B266" s="4">
        <v>83233.0</v>
      </c>
      <c r="C266" s="4">
        <v>1901.0</v>
      </c>
      <c r="D266" s="36">
        <v>2625.0</v>
      </c>
      <c r="E266" s="4">
        <v>40.0</v>
      </c>
      <c r="F266" s="36">
        <v>8035.0</v>
      </c>
      <c r="G266" s="4">
        <v>0.02283949875650283</v>
      </c>
      <c r="H266" s="4">
        <v>0.021041557075223566</v>
      </c>
      <c r="I266" s="4">
        <v>31.537971717948405</v>
      </c>
      <c r="J266" s="4">
        <v>1.3808521830615466</v>
      </c>
      <c r="K266" s="4">
        <v>200.875</v>
      </c>
      <c r="L266" s="4">
        <v>3.060952380952381</v>
      </c>
    </row>
    <row r="267">
      <c r="A267" s="35">
        <v>45923.0</v>
      </c>
      <c r="B267" s="4">
        <v>31103.0</v>
      </c>
      <c r="C267" s="4">
        <v>912.0</v>
      </c>
      <c r="D267" s="36">
        <v>793.0</v>
      </c>
      <c r="E267" s="4">
        <v>12.0</v>
      </c>
      <c r="F267" s="36">
        <v>2327.0</v>
      </c>
      <c r="G267" s="4">
        <v>0.029321930360415395</v>
      </c>
      <c r="H267" s="4">
        <v>0.013157894736842105</v>
      </c>
      <c r="I267" s="4">
        <v>25.49593286821207</v>
      </c>
      <c r="J267" s="4">
        <v>0.8695175438596491</v>
      </c>
      <c r="K267" s="4">
        <v>193.91666666666666</v>
      </c>
      <c r="L267" s="4">
        <v>2.9344262295081966</v>
      </c>
    </row>
    <row r="268">
      <c r="A268" s="35">
        <v>45924.0</v>
      </c>
      <c r="B268" s="4">
        <v>70541.0</v>
      </c>
      <c r="C268" s="4">
        <v>2052.0</v>
      </c>
      <c r="D268" s="36">
        <v>1695.0</v>
      </c>
      <c r="E268" s="4">
        <v>46.0</v>
      </c>
      <c r="F268" s="36">
        <v>5255.0</v>
      </c>
      <c r="G268" s="4">
        <v>0.029089465700798116</v>
      </c>
      <c r="H268" s="4">
        <v>0.022417153996101363</v>
      </c>
      <c r="I268" s="4">
        <v>24.028579124197275</v>
      </c>
      <c r="J268" s="4">
        <v>0.8260233918128655</v>
      </c>
      <c r="K268" s="4">
        <v>114.23913043478261</v>
      </c>
      <c r="L268" s="4">
        <v>3.1002949852507373</v>
      </c>
    </row>
    <row r="269">
      <c r="A269" s="35">
        <v>45925.0</v>
      </c>
      <c r="B269" s="4">
        <v>80992.0</v>
      </c>
      <c r="C269" s="4">
        <v>1169.0</v>
      </c>
      <c r="D269" s="36">
        <v>1411.0</v>
      </c>
      <c r="E269" s="4">
        <v>16.0</v>
      </c>
      <c r="F269" s="36">
        <v>1739.0</v>
      </c>
      <c r="G269" s="4">
        <v>0.014433524298696168</v>
      </c>
      <c r="H269" s="4">
        <v>0.013686911890504704</v>
      </c>
      <c r="I269" s="4">
        <v>17.42147372580008</v>
      </c>
      <c r="J269" s="4">
        <v>1.2070145423438836</v>
      </c>
      <c r="K269" s="4">
        <v>108.6875</v>
      </c>
      <c r="L269" s="4">
        <v>1.2324592487597448</v>
      </c>
    </row>
    <row r="270">
      <c r="A270" s="35">
        <v>45926.0</v>
      </c>
      <c r="B270" s="4">
        <v>89844.0</v>
      </c>
      <c r="C270" s="4">
        <v>2011.0</v>
      </c>
      <c r="D270" s="36">
        <v>2096.0</v>
      </c>
      <c r="E270" s="4">
        <v>51.0</v>
      </c>
      <c r="F270" s="36">
        <v>9222.0</v>
      </c>
      <c r="G270" s="4">
        <v>0.022383242064022084</v>
      </c>
      <c r="H270" s="4">
        <v>0.02536051715564396</v>
      </c>
      <c r="I270" s="4">
        <v>23.329326387961355</v>
      </c>
      <c r="J270" s="4">
        <v>1.0422675285927399</v>
      </c>
      <c r="K270" s="4">
        <v>180.8235294117647</v>
      </c>
      <c r="L270" s="4">
        <v>4.3998091603053435</v>
      </c>
    </row>
    <row r="271">
      <c r="A271" s="35">
        <v>45927.0</v>
      </c>
      <c r="B271" s="4">
        <v>53168.0</v>
      </c>
      <c r="C271" s="4">
        <v>884.0</v>
      </c>
      <c r="D271" s="36">
        <v>722.0</v>
      </c>
      <c r="E271" s="4">
        <v>18.0</v>
      </c>
      <c r="F271" s="36">
        <v>3181.0</v>
      </c>
      <c r="G271" s="4">
        <v>0.01662654228107132</v>
      </c>
      <c r="H271" s="4">
        <v>0.020361990950226245</v>
      </c>
      <c r="I271" s="4">
        <v>13.579596749924768</v>
      </c>
      <c r="J271" s="4">
        <v>0.8167420814479638</v>
      </c>
      <c r="K271" s="4">
        <v>176.72222222222223</v>
      </c>
      <c r="L271" s="4">
        <v>4.405817174515235</v>
      </c>
    </row>
    <row r="272">
      <c r="A272" s="35">
        <v>45928.0</v>
      </c>
      <c r="B272" s="4">
        <v>25790.0</v>
      </c>
      <c r="C272" s="4">
        <v>290.0</v>
      </c>
      <c r="D272" s="36">
        <v>229.0</v>
      </c>
      <c r="E272" s="4">
        <v>5.0</v>
      </c>
      <c r="F272" s="36">
        <v>796.0</v>
      </c>
      <c r="G272" s="4">
        <v>0.011244668476153548</v>
      </c>
      <c r="H272" s="4">
        <v>0.017241379310344827</v>
      </c>
      <c r="I272" s="4">
        <v>8.879410624272975</v>
      </c>
      <c r="J272" s="4">
        <v>0.7896551724137931</v>
      </c>
      <c r="K272" s="4">
        <v>159.2</v>
      </c>
      <c r="L272" s="4">
        <v>3.475982532751092</v>
      </c>
    </row>
    <row r="273">
      <c r="A273" s="35">
        <v>45929.0</v>
      </c>
      <c r="B273" s="4">
        <v>36441.0</v>
      </c>
      <c r="C273" s="4">
        <v>980.0</v>
      </c>
      <c r="D273" s="36">
        <v>812.0</v>
      </c>
      <c r="E273" s="4">
        <v>13.0</v>
      </c>
      <c r="F273" s="36">
        <v>1560.0</v>
      </c>
      <c r="G273" s="4">
        <v>0.026892785598638894</v>
      </c>
      <c r="H273" s="4">
        <v>0.013265306122448979</v>
      </c>
      <c r="I273" s="4">
        <v>22.28259378172937</v>
      </c>
      <c r="J273" s="4">
        <v>0.8285714285714286</v>
      </c>
      <c r="K273" s="4">
        <v>120.0</v>
      </c>
      <c r="L273" s="4">
        <v>1.9211822660098523</v>
      </c>
    </row>
    <row r="274">
      <c r="A274" s="35">
        <v>45930.0</v>
      </c>
      <c r="B274" s="4">
        <v>50459.0</v>
      </c>
      <c r="C274" s="4">
        <v>1404.0</v>
      </c>
      <c r="D274" s="36">
        <v>1414.0</v>
      </c>
      <c r="E274" s="4">
        <v>23.0</v>
      </c>
      <c r="F274" s="36">
        <v>2532.0</v>
      </c>
      <c r="G274" s="4">
        <v>0.02782457044333023</v>
      </c>
      <c r="H274" s="4">
        <v>0.01638176638176638</v>
      </c>
      <c r="I274" s="4">
        <v>28.022751144493547</v>
      </c>
      <c r="J274" s="4">
        <v>1.0071225071225072</v>
      </c>
      <c r="K274" s="4">
        <v>110.08695652173913</v>
      </c>
      <c r="L274" s="4">
        <v>1.7906647807637908</v>
      </c>
    </row>
    <row r="275">
      <c r="A275" s="35">
        <v>45931.0</v>
      </c>
      <c r="B275" s="4">
        <v>67085.0</v>
      </c>
      <c r="C275" s="4">
        <v>1912.0</v>
      </c>
      <c r="D275" s="36">
        <v>2178.0</v>
      </c>
      <c r="E275" s="4">
        <v>38.0</v>
      </c>
      <c r="F275" s="36">
        <v>6681.0</v>
      </c>
      <c r="G275" s="4">
        <v>0.028501155250801224</v>
      </c>
      <c r="H275" s="4">
        <v>0.0198744769874477</v>
      </c>
      <c r="I275" s="4">
        <v>32.466274129835284</v>
      </c>
      <c r="J275" s="4">
        <v>1.139121338912134</v>
      </c>
      <c r="K275" s="4">
        <v>175.81578947368422</v>
      </c>
      <c r="L275" s="4">
        <v>3.0674931129476586</v>
      </c>
    </row>
    <row r="276">
      <c r="A276" s="35">
        <v>45932.0</v>
      </c>
      <c r="B276" s="4">
        <v>84767.0</v>
      </c>
      <c r="C276" s="4">
        <v>2601.0</v>
      </c>
      <c r="D276" s="36">
        <v>2572.0</v>
      </c>
      <c r="E276" s="4">
        <v>60.0</v>
      </c>
      <c r="F276" s="36">
        <v>6182.0</v>
      </c>
      <c r="G276" s="4">
        <v>0.03068411056189319</v>
      </c>
      <c r="H276" s="4">
        <v>0.02306805074971165</v>
      </c>
      <c r="I276" s="4">
        <v>30.341996295728293</v>
      </c>
      <c r="J276" s="4">
        <v>0.9888504421376394</v>
      </c>
      <c r="K276" s="4">
        <v>103.03333333333333</v>
      </c>
      <c r="L276" s="4">
        <v>2.4035769828926905</v>
      </c>
    </row>
    <row r="277">
      <c r="A277" s="35">
        <v>45933.0</v>
      </c>
      <c r="B277" s="4">
        <v>92837.0</v>
      </c>
      <c r="C277" s="4">
        <v>2278.0</v>
      </c>
      <c r="D277" s="36">
        <v>1400.0</v>
      </c>
      <c r="E277" s="4">
        <v>44.0</v>
      </c>
      <c r="F277" s="36">
        <v>7762.0</v>
      </c>
      <c r="G277" s="4">
        <v>0.024537630470609778</v>
      </c>
      <c r="H277" s="4">
        <v>0.019315188762071993</v>
      </c>
      <c r="I277" s="4">
        <v>15.080194319075368</v>
      </c>
      <c r="J277" s="4">
        <v>0.6145741878841089</v>
      </c>
      <c r="K277" s="4">
        <v>176.4090909090909</v>
      </c>
      <c r="L277" s="4">
        <v>5.5442857142857145</v>
      </c>
    </row>
    <row r="278">
      <c r="A278" s="35">
        <v>45934.0</v>
      </c>
      <c r="B278" s="4">
        <v>91518.0</v>
      </c>
      <c r="C278" s="4">
        <v>2090.0</v>
      </c>
      <c r="D278" s="36">
        <v>1932.0</v>
      </c>
      <c r="E278" s="4">
        <v>44.0</v>
      </c>
      <c r="F278" s="36">
        <v>8930.0</v>
      </c>
      <c r="G278" s="4">
        <v>0.022837037522673135</v>
      </c>
      <c r="H278" s="4">
        <v>0.021052631578947368</v>
      </c>
      <c r="I278" s="4">
        <v>21.110601193207895</v>
      </c>
      <c r="J278" s="4">
        <v>0.9244019138755981</v>
      </c>
      <c r="K278" s="4">
        <v>202.95454545454547</v>
      </c>
      <c r="L278" s="4">
        <v>4.622153209109731</v>
      </c>
    </row>
    <row r="279">
      <c r="A279" s="35">
        <v>45935.0</v>
      </c>
      <c r="B279" s="4">
        <v>60713.0</v>
      </c>
      <c r="C279" s="4">
        <v>1004.0</v>
      </c>
      <c r="D279" s="36">
        <v>948.0</v>
      </c>
      <c r="E279" s="4">
        <v>18.0</v>
      </c>
      <c r="F279" s="36">
        <v>2567.0</v>
      </c>
      <c r="G279" s="4">
        <v>0.01653682077973416</v>
      </c>
      <c r="H279" s="4">
        <v>0.017928286852589643</v>
      </c>
      <c r="I279" s="4">
        <v>15.614448305964126</v>
      </c>
      <c r="J279" s="4">
        <v>0.9442231075697212</v>
      </c>
      <c r="K279" s="4">
        <v>142.61111111111111</v>
      </c>
      <c r="L279" s="4">
        <v>2.707805907172996</v>
      </c>
    </row>
    <row r="280">
      <c r="A280" s="35">
        <v>45936.0</v>
      </c>
      <c r="B280" s="4">
        <v>64768.0</v>
      </c>
      <c r="C280" s="4">
        <v>1698.0</v>
      </c>
      <c r="D280" s="36">
        <v>1963.0</v>
      </c>
      <c r="E280" s="4">
        <v>28.0</v>
      </c>
      <c r="F280" s="36">
        <v>5116.0</v>
      </c>
      <c r="G280" s="4">
        <v>0.02621665019762846</v>
      </c>
      <c r="H280" s="4">
        <v>0.016489988221436984</v>
      </c>
      <c r="I280" s="4">
        <v>30.308176877470355</v>
      </c>
      <c r="J280" s="4">
        <v>1.1560659599528857</v>
      </c>
      <c r="K280" s="4">
        <v>182.71428571428572</v>
      </c>
      <c r="L280" s="4">
        <v>2.606214977075904</v>
      </c>
    </row>
    <row r="281">
      <c r="A281" s="35">
        <v>45937.0</v>
      </c>
      <c r="B281" s="4">
        <v>27997.0</v>
      </c>
      <c r="C281" s="4">
        <v>466.0</v>
      </c>
      <c r="D281" s="36">
        <v>375.0</v>
      </c>
      <c r="E281" s="4">
        <v>6.0</v>
      </c>
      <c r="F281" s="36">
        <v>1296.0</v>
      </c>
      <c r="G281" s="4">
        <v>0.016644640497196127</v>
      </c>
      <c r="H281" s="4">
        <v>0.012875536480686695</v>
      </c>
      <c r="I281" s="4">
        <v>13.394292245597741</v>
      </c>
      <c r="J281" s="4">
        <v>0.8047210300429185</v>
      </c>
      <c r="K281" s="4">
        <v>216.0</v>
      </c>
      <c r="L281" s="4">
        <v>3.456</v>
      </c>
    </row>
    <row r="282">
      <c r="A282" s="35">
        <v>45938.0</v>
      </c>
      <c r="B282" s="4">
        <v>103912.0</v>
      </c>
      <c r="C282" s="4">
        <v>2549.0</v>
      </c>
      <c r="D282" s="36">
        <v>2582.0</v>
      </c>
      <c r="E282" s="4">
        <v>50.0</v>
      </c>
      <c r="F282" s="36">
        <v>6485.0</v>
      </c>
      <c r="G282" s="4">
        <v>0.024530371853106473</v>
      </c>
      <c r="H282" s="4">
        <v>0.019615535504119264</v>
      </c>
      <c r="I282" s="4">
        <v>24.84794826391562</v>
      </c>
      <c r="J282" s="4">
        <v>1.0129462534327187</v>
      </c>
      <c r="K282" s="4">
        <v>129.7</v>
      </c>
      <c r="L282" s="4">
        <v>2.511618900077459</v>
      </c>
    </row>
    <row r="283">
      <c r="A283" s="35">
        <v>45939.0</v>
      </c>
      <c r="B283" s="4">
        <v>72249.0</v>
      </c>
      <c r="C283" s="4">
        <v>1466.0</v>
      </c>
      <c r="D283" s="36">
        <v>1286.0</v>
      </c>
      <c r="E283" s="4">
        <v>19.0</v>
      </c>
      <c r="F283" s="36">
        <v>3309.0</v>
      </c>
      <c r="G283" s="4">
        <v>0.02029093828288281</v>
      </c>
      <c r="H283" s="4">
        <v>0.01296043656207367</v>
      </c>
      <c r="I283" s="4">
        <v>17.799554319090923</v>
      </c>
      <c r="J283" s="4">
        <v>0.8772169167803547</v>
      </c>
      <c r="K283" s="4">
        <v>174.1578947368421</v>
      </c>
      <c r="L283" s="4">
        <v>2.573094867807154</v>
      </c>
    </row>
    <row r="284">
      <c r="A284" s="35">
        <v>45940.0</v>
      </c>
      <c r="B284" s="4">
        <v>102424.0</v>
      </c>
      <c r="C284" s="4">
        <v>1770.0</v>
      </c>
      <c r="D284" s="36">
        <v>1333.0</v>
      </c>
      <c r="E284" s="4">
        <v>44.0</v>
      </c>
      <c r="F284" s="36">
        <v>5958.0</v>
      </c>
      <c r="G284" s="4">
        <v>0.01728110599078341</v>
      </c>
      <c r="H284" s="4">
        <v>0.024858757062146894</v>
      </c>
      <c r="I284" s="4">
        <v>13.01452784503632</v>
      </c>
      <c r="J284" s="4">
        <v>0.7531073446327684</v>
      </c>
      <c r="K284" s="4">
        <v>135.4090909090909</v>
      </c>
      <c r="L284" s="4">
        <v>4.469617404351088</v>
      </c>
    </row>
    <row r="285">
      <c r="A285" s="35">
        <v>45941.0</v>
      </c>
      <c r="B285" s="4">
        <v>81040.0</v>
      </c>
      <c r="C285" s="4">
        <v>1374.0</v>
      </c>
      <c r="D285" s="36">
        <v>1105.0</v>
      </c>
      <c r="E285" s="4">
        <v>20.0</v>
      </c>
      <c r="F285" s="36">
        <v>3000.0</v>
      </c>
      <c r="G285" s="4">
        <v>0.016954590325765056</v>
      </c>
      <c r="H285" s="4">
        <v>0.01455604075691412</v>
      </c>
      <c r="I285" s="4">
        <v>13.635241855873643</v>
      </c>
      <c r="J285" s="4">
        <v>0.8042212518195051</v>
      </c>
      <c r="K285" s="4">
        <v>150.0</v>
      </c>
      <c r="L285" s="4">
        <v>2.7149321266968327</v>
      </c>
    </row>
    <row r="286">
      <c r="A286" s="35">
        <v>45942.0</v>
      </c>
      <c r="B286" s="4">
        <v>29842.0</v>
      </c>
      <c r="C286" s="4">
        <v>366.0</v>
      </c>
      <c r="D286" s="36">
        <v>206.0</v>
      </c>
      <c r="E286" s="4">
        <v>3.0</v>
      </c>
      <c r="F286" s="36">
        <v>622.0</v>
      </c>
      <c r="G286" s="4">
        <v>0.01226459352590309</v>
      </c>
      <c r="H286" s="4">
        <v>0.00819672131147541</v>
      </c>
      <c r="I286" s="4">
        <v>6.9030225856175855</v>
      </c>
      <c r="J286" s="4">
        <v>0.5628415300546448</v>
      </c>
      <c r="K286" s="4">
        <v>207.33333333333334</v>
      </c>
      <c r="L286" s="4">
        <v>3.0194174757281553</v>
      </c>
    </row>
    <row r="287">
      <c r="A287" s="35">
        <v>45943.0</v>
      </c>
      <c r="B287" s="4">
        <v>95787.0</v>
      </c>
      <c r="C287" s="4">
        <v>2949.0</v>
      </c>
      <c r="D287" s="36">
        <v>2021.0</v>
      </c>
      <c r="E287" s="4">
        <v>58.0</v>
      </c>
      <c r="F287" s="36">
        <v>7138.0</v>
      </c>
      <c r="G287" s="4">
        <v>0.030787058786682954</v>
      </c>
      <c r="H287" s="4">
        <v>0.019667683960664633</v>
      </c>
      <c r="I287" s="4">
        <v>21.09889650996482</v>
      </c>
      <c r="J287" s="4">
        <v>0.6853170566293659</v>
      </c>
      <c r="K287" s="4">
        <v>123.06896551724138</v>
      </c>
      <c r="L287" s="4">
        <v>3.5319148936170213</v>
      </c>
    </row>
    <row r="288">
      <c r="A288" s="35">
        <v>45944.0</v>
      </c>
      <c r="B288" s="4">
        <v>42877.0</v>
      </c>
      <c r="C288" s="4">
        <v>1058.0</v>
      </c>
      <c r="D288" s="36">
        <v>1050.0</v>
      </c>
      <c r="E288" s="4">
        <v>19.0</v>
      </c>
      <c r="F288" s="36">
        <v>2899.0</v>
      </c>
      <c r="G288" s="4">
        <v>0.024675233808335473</v>
      </c>
      <c r="H288" s="4">
        <v>0.017958412098298678</v>
      </c>
      <c r="I288" s="4">
        <v>24.488653590503066</v>
      </c>
      <c r="J288" s="4">
        <v>0.9924385633270322</v>
      </c>
      <c r="K288" s="4">
        <v>152.57894736842104</v>
      </c>
      <c r="L288" s="4">
        <v>2.760952380952381</v>
      </c>
    </row>
    <row r="289">
      <c r="A289" s="35">
        <v>45945.0</v>
      </c>
      <c r="B289" s="4">
        <v>61603.0</v>
      </c>
      <c r="C289" s="4">
        <v>1306.0</v>
      </c>
      <c r="D289" s="36">
        <v>1510.0</v>
      </c>
      <c r="E289" s="4">
        <v>29.0</v>
      </c>
      <c r="F289" s="36">
        <v>5140.0</v>
      </c>
      <c r="G289" s="4">
        <v>0.021200266220800935</v>
      </c>
      <c r="H289" s="4">
        <v>0.0222052067381317</v>
      </c>
      <c r="I289" s="4">
        <v>24.511793256821907</v>
      </c>
      <c r="J289" s="4">
        <v>1.1562021439509953</v>
      </c>
      <c r="K289" s="4">
        <v>177.24137931034483</v>
      </c>
      <c r="L289" s="4">
        <v>3.403973509933775</v>
      </c>
    </row>
    <row r="290">
      <c r="A290" s="35">
        <v>45946.0</v>
      </c>
      <c r="B290" s="4">
        <v>67465.0</v>
      </c>
      <c r="C290" s="4">
        <v>1104.0</v>
      </c>
      <c r="D290" s="36">
        <v>825.0</v>
      </c>
      <c r="E290" s="4">
        <v>19.0</v>
      </c>
      <c r="F290" s="36">
        <v>3335.0</v>
      </c>
      <c r="G290" s="4">
        <v>0.016364040613651522</v>
      </c>
      <c r="H290" s="4">
        <v>0.017210144927536232</v>
      </c>
      <c r="I290" s="4">
        <v>12.22856295857111</v>
      </c>
      <c r="J290" s="4">
        <v>0.7472826086956522</v>
      </c>
      <c r="K290" s="4">
        <v>175.52631578947367</v>
      </c>
      <c r="L290" s="4">
        <v>4.042424242424242</v>
      </c>
    </row>
    <row r="291">
      <c r="A291" s="35">
        <v>45947.0</v>
      </c>
      <c r="B291" s="4">
        <v>56121.0</v>
      </c>
      <c r="C291" s="4">
        <v>941.0</v>
      </c>
      <c r="D291" s="36">
        <v>1093.0</v>
      </c>
      <c r="E291" s="4">
        <v>12.0</v>
      </c>
      <c r="F291" s="36">
        <v>1462.0</v>
      </c>
      <c r="G291" s="4">
        <v>0.01676734199319328</v>
      </c>
      <c r="H291" s="4">
        <v>0.012752391073326248</v>
      </c>
      <c r="I291" s="4">
        <v>19.475775556387095</v>
      </c>
      <c r="J291" s="4">
        <v>1.1615302869287991</v>
      </c>
      <c r="K291" s="4">
        <v>121.83333333333333</v>
      </c>
      <c r="L291" s="4">
        <v>1.3376029277218664</v>
      </c>
    </row>
    <row r="292">
      <c r="A292" s="35">
        <v>45948.0</v>
      </c>
      <c r="B292" s="4">
        <v>33186.0</v>
      </c>
      <c r="C292" s="4">
        <v>386.0</v>
      </c>
      <c r="D292" s="36">
        <v>322.0</v>
      </c>
      <c r="E292" s="4">
        <v>8.0</v>
      </c>
      <c r="F292" s="36">
        <v>1201.0</v>
      </c>
      <c r="G292" s="4">
        <v>0.011631410835894654</v>
      </c>
      <c r="H292" s="4">
        <v>0.02072538860103627</v>
      </c>
      <c r="I292" s="4">
        <v>9.702886759476888</v>
      </c>
      <c r="J292" s="4">
        <v>0.8341968911917098</v>
      </c>
      <c r="K292" s="4">
        <v>150.125</v>
      </c>
      <c r="L292" s="4">
        <v>3.729813664596273</v>
      </c>
    </row>
    <row r="293">
      <c r="A293" s="35">
        <v>45949.0</v>
      </c>
      <c r="B293" s="4">
        <v>29150.0</v>
      </c>
      <c r="C293" s="4">
        <v>298.0</v>
      </c>
      <c r="D293" s="36">
        <v>301.0</v>
      </c>
      <c r="E293" s="4">
        <v>3.0</v>
      </c>
      <c r="F293" s="36">
        <v>776.0</v>
      </c>
      <c r="G293" s="4">
        <v>0.010222984562607205</v>
      </c>
      <c r="H293" s="4">
        <v>0.010067114093959731</v>
      </c>
      <c r="I293" s="4">
        <v>10.325900514579759</v>
      </c>
      <c r="J293" s="4">
        <v>1.0100671140939597</v>
      </c>
      <c r="K293" s="4">
        <v>258.6666666666667</v>
      </c>
      <c r="L293" s="4">
        <v>2.5780730897009967</v>
      </c>
    </row>
    <row r="294">
      <c r="A294" s="35">
        <v>45950.0</v>
      </c>
      <c r="B294" s="4">
        <v>98084.0</v>
      </c>
      <c r="C294" s="4">
        <v>2296.0</v>
      </c>
      <c r="D294" s="36">
        <v>1731.0</v>
      </c>
      <c r="E294" s="4">
        <v>47.0</v>
      </c>
      <c r="F294" s="36">
        <v>6160.0</v>
      </c>
      <c r="G294" s="4">
        <v>0.023408506994005138</v>
      </c>
      <c r="H294" s="4">
        <v>0.020470383275261322</v>
      </c>
      <c r="I294" s="4">
        <v>17.648138330410667</v>
      </c>
      <c r="J294" s="4">
        <v>0.7539198606271778</v>
      </c>
      <c r="K294" s="4">
        <v>131.06382978723406</v>
      </c>
      <c r="L294" s="4">
        <v>3.558636626227614</v>
      </c>
    </row>
    <row r="295">
      <c r="A295" s="35">
        <v>45951.0</v>
      </c>
      <c r="B295" s="4">
        <v>104761.0</v>
      </c>
      <c r="C295" s="4">
        <v>2277.0</v>
      </c>
      <c r="D295" s="36">
        <v>2164.0</v>
      </c>
      <c r="E295" s="4">
        <v>48.0</v>
      </c>
      <c r="F295" s="36">
        <v>4421.0</v>
      </c>
      <c r="G295" s="4">
        <v>0.021735187712984792</v>
      </c>
      <c r="H295" s="4">
        <v>0.021080368906455864</v>
      </c>
      <c r="I295" s="4">
        <v>20.65654203377211</v>
      </c>
      <c r="J295" s="4">
        <v>0.9503732981993852</v>
      </c>
      <c r="K295" s="4">
        <v>92.10416666666667</v>
      </c>
      <c r="L295" s="4">
        <v>2.0429759704251387</v>
      </c>
    </row>
    <row r="296">
      <c r="A296" s="35">
        <v>45952.0</v>
      </c>
      <c r="B296" s="4">
        <v>65544.0</v>
      </c>
      <c r="C296" s="4">
        <v>1138.0</v>
      </c>
      <c r="D296" s="36">
        <v>917.0</v>
      </c>
      <c r="E296" s="4">
        <v>17.0</v>
      </c>
      <c r="F296" s="36">
        <v>2100.0</v>
      </c>
      <c r="G296" s="4">
        <v>0.017362382521664835</v>
      </c>
      <c r="H296" s="4">
        <v>0.014938488576449912</v>
      </c>
      <c r="I296" s="4">
        <v>13.990601733186868</v>
      </c>
      <c r="J296" s="4">
        <v>0.8057996485061512</v>
      </c>
      <c r="K296" s="4">
        <v>123.52941176470588</v>
      </c>
      <c r="L296" s="4">
        <v>2.2900763358778624</v>
      </c>
    </row>
    <row r="297">
      <c r="A297" s="35">
        <v>45953.0</v>
      </c>
      <c r="B297" s="4">
        <v>70268.0</v>
      </c>
      <c r="C297" s="4">
        <v>986.0</v>
      </c>
      <c r="D297" s="36">
        <v>766.0</v>
      </c>
      <c r="E297" s="4">
        <v>22.0</v>
      </c>
      <c r="F297" s="36">
        <v>4345.0</v>
      </c>
      <c r="G297" s="4">
        <v>0.014031991802812092</v>
      </c>
      <c r="H297" s="4">
        <v>0.02231237322515213</v>
      </c>
      <c r="I297" s="4">
        <v>10.901121420845906</v>
      </c>
      <c r="J297" s="4">
        <v>0.7768762677484787</v>
      </c>
      <c r="K297" s="4">
        <v>197.5</v>
      </c>
      <c r="L297" s="4">
        <v>5.672323759791123</v>
      </c>
    </row>
    <row r="298">
      <c r="A298" s="35">
        <v>45954.0</v>
      </c>
      <c r="B298" s="4">
        <v>27111.0</v>
      </c>
      <c r="C298" s="4">
        <v>687.0</v>
      </c>
      <c r="D298" s="36">
        <v>455.0</v>
      </c>
      <c r="E298" s="4">
        <v>12.0</v>
      </c>
      <c r="F298" s="36">
        <v>1810.0</v>
      </c>
      <c r="G298" s="4">
        <v>0.025340267787982738</v>
      </c>
      <c r="H298" s="4">
        <v>0.017467248908296942</v>
      </c>
      <c r="I298" s="4">
        <v>16.78285566744126</v>
      </c>
      <c r="J298" s="4">
        <v>0.6622998544395924</v>
      </c>
      <c r="K298" s="4">
        <v>150.83333333333334</v>
      </c>
      <c r="L298" s="4">
        <v>3.978021978021978</v>
      </c>
    </row>
    <row r="299">
      <c r="A299" s="35">
        <v>45955.0</v>
      </c>
      <c r="B299" s="4">
        <v>95429.0</v>
      </c>
      <c r="C299" s="4">
        <v>1563.0</v>
      </c>
      <c r="D299" s="36">
        <v>1379.0</v>
      </c>
      <c r="E299" s="4">
        <v>33.0</v>
      </c>
      <c r="F299" s="36">
        <v>3789.0</v>
      </c>
      <c r="G299" s="4">
        <v>0.016378668958073543</v>
      </c>
      <c r="H299" s="4">
        <v>0.02111324376199616</v>
      </c>
      <c r="I299" s="4">
        <v>14.450533904787852</v>
      </c>
      <c r="J299" s="4">
        <v>0.8822776711452335</v>
      </c>
      <c r="K299" s="4">
        <v>114.81818181818181</v>
      </c>
      <c r="L299" s="4">
        <v>2.747643219724438</v>
      </c>
    </row>
    <row r="300">
      <c r="A300" s="35">
        <v>45956.0</v>
      </c>
      <c r="B300" s="4">
        <v>28585.0</v>
      </c>
      <c r="C300" s="4">
        <v>557.0</v>
      </c>
      <c r="D300" s="36">
        <v>352.0</v>
      </c>
      <c r="E300" s="4">
        <v>9.0</v>
      </c>
      <c r="F300" s="36">
        <v>1706.0</v>
      </c>
      <c r="G300" s="4">
        <v>0.01948574427147105</v>
      </c>
      <c r="H300" s="4">
        <v>0.01615798922800718</v>
      </c>
      <c r="I300" s="4">
        <v>12.31415077838027</v>
      </c>
      <c r="J300" s="4">
        <v>0.6319569120287253</v>
      </c>
      <c r="K300" s="4">
        <v>189.55555555555554</v>
      </c>
      <c r="L300" s="4">
        <v>4.846590909090909</v>
      </c>
    </row>
    <row r="301">
      <c r="A301" s="35">
        <v>45957.0</v>
      </c>
      <c r="B301" s="4">
        <v>58874.0</v>
      </c>
      <c r="C301" s="4">
        <v>1101.0</v>
      </c>
      <c r="D301" s="36">
        <v>776.0</v>
      </c>
      <c r="E301" s="4">
        <v>19.0</v>
      </c>
      <c r="F301" s="36">
        <v>3495.0</v>
      </c>
      <c r="G301" s="4">
        <v>0.018700954580969528</v>
      </c>
      <c r="H301" s="4">
        <v>0.01725703905540418</v>
      </c>
      <c r="I301" s="4">
        <v>13.180690967150184</v>
      </c>
      <c r="J301" s="4">
        <v>0.7048138056312443</v>
      </c>
      <c r="K301" s="4">
        <v>183.94736842105263</v>
      </c>
      <c r="L301" s="4">
        <v>4.503865979381444</v>
      </c>
    </row>
    <row r="302">
      <c r="A302" s="35">
        <v>45958.0</v>
      </c>
      <c r="B302" s="4">
        <v>61164.0</v>
      </c>
      <c r="C302" s="4">
        <v>1116.0</v>
      </c>
      <c r="D302" s="36">
        <v>1041.0</v>
      </c>
      <c r="E302" s="4">
        <v>26.0</v>
      </c>
      <c r="F302" s="36">
        <v>4075.0</v>
      </c>
      <c r="G302" s="4">
        <v>0.018246027074749854</v>
      </c>
      <c r="H302" s="4">
        <v>0.023297491039426525</v>
      </c>
      <c r="I302" s="4">
        <v>17.019815577790858</v>
      </c>
      <c r="J302" s="4">
        <v>0.9327956989247311</v>
      </c>
      <c r="K302" s="4">
        <v>156.73076923076923</v>
      </c>
      <c r="L302" s="4">
        <v>3.9145052833813643</v>
      </c>
    </row>
    <row r="303">
      <c r="A303" s="35">
        <v>45959.0</v>
      </c>
      <c r="B303" s="4">
        <v>111859.0</v>
      </c>
      <c r="C303" s="4">
        <v>2516.0</v>
      </c>
      <c r="D303" s="36">
        <v>2524.0</v>
      </c>
      <c r="E303" s="4">
        <v>38.0</v>
      </c>
      <c r="F303" s="36">
        <v>5255.0</v>
      </c>
      <c r="G303" s="4">
        <v>0.02249260229395936</v>
      </c>
      <c r="H303" s="4">
        <v>0.015103338632750398</v>
      </c>
      <c r="I303" s="4">
        <v>22.564120902207243</v>
      </c>
      <c r="J303" s="4">
        <v>1.0031796502384738</v>
      </c>
      <c r="K303" s="4">
        <v>138.28947368421052</v>
      </c>
      <c r="L303" s="4">
        <v>2.082012678288431</v>
      </c>
    </row>
    <row r="304">
      <c r="A304" s="35">
        <v>45960.0</v>
      </c>
      <c r="B304" s="4">
        <v>69058.0</v>
      </c>
      <c r="C304" s="4">
        <v>1486.0</v>
      </c>
      <c r="D304" s="36">
        <v>1130.0</v>
      </c>
      <c r="E304" s="4">
        <v>28.0</v>
      </c>
      <c r="F304" s="36">
        <v>5458.0</v>
      </c>
      <c r="G304" s="4">
        <v>0.021518144168669814</v>
      </c>
      <c r="H304" s="4">
        <v>0.018842530282637954</v>
      </c>
      <c r="I304" s="4">
        <v>16.363057140374757</v>
      </c>
      <c r="J304" s="4">
        <v>0.7604306864064603</v>
      </c>
      <c r="K304" s="4">
        <v>194.92857142857142</v>
      </c>
      <c r="L304" s="4">
        <v>4.830088495575221</v>
      </c>
    </row>
    <row r="305">
      <c r="A305" s="35">
        <v>45961.0</v>
      </c>
      <c r="B305" s="4">
        <v>59125.0</v>
      </c>
      <c r="C305" s="4">
        <v>1690.0</v>
      </c>
      <c r="D305" s="36">
        <v>1453.0</v>
      </c>
      <c r="E305" s="4">
        <v>37.0</v>
      </c>
      <c r="F305" s="36">
        <v>5356.0</v>
      </c>
      <c r="G305" s="4">
        <v>0.028583509513742073</v>
      </c>
      <c r="H305" s="4">
        <v>0.021893491124260357</v>
      </c>
      <c r="I305" s="4">
        <v>24.57505285412262</v>
      </c>
      <c r="J305" s="4">
        <v>0.8597633136094674</v>
      </c>
      <c r="K305" s="4">
        <v>144.75675675675674</v>
      </c>
      <c r="L305" s="4">
        <v>3.6861665519614593</v>
      </c>
    </row>
    <row r="306">
      <c r="A306" s="35">
        <v>45962.0</v>
      </c>
      <c r="B306" s="4">
        <v>24384.0</v>
      </c>
      <c r="C306" s="4">
        <v>523.0</v>
      </c>
      <c r="D306" s="36">
        <v>565.0</v>
      </c>
      <c r="E306" s="4">
        <v>10.0</v>
      </c>
      <c r="F306" s="36">
        <v>1928.0</v>
      </c>
      <c r="G306" s="4">
        <v>0.021448490813648295</v>
      </c>
      <c r="H306" s="4">
        <v>0.019120458891013385</v>
      </c>
      <c r="I306" s="4">
        <v>23.170931758530184</v>
      </c>
      <c r="J306" s="4">
        <v>1.0803059273422562</v>
      </c>
      <c r="K306" s="4">
        <v>192.8</v>
      </c>
      <c r="L306" s="4">
        <v>3.4123893805309735</v>
      </c>
    </row>
    <row r="307">
      <c r="A307" s="35">
        <v>45963.0</v>
      </c>
      <c r="B307" s="4">
        <v>102253.0</v>
      </c>
      <c r="C307" s="4">
        <v>2360.0</v>
      </c>
      <c r="D307" s="36">
        <v>1748.0</v>
      </c>
      <c r="E307" s="4">
        <v>29.0</v>
      </c>
      <c r="F307" s="36">
        <v>6406.0</v>
      </c>
      <c r="G307" s="4">
        <v>0.023080007432544767</v>
      </c>
      <c r="H307" s="4">
        <v>0.01228813559322034</v>
      </c>
      <c r="I307" s="4">
        <v>17.09485296274926</v>
      </c>
      <c r="J307" s="4">
        <v>0.7406779661016949</v>
      </c>
      <c r="K307" s="4">
        <v>220.89655172413794</v>
      </c>
      <c r="L307" s="4">
        <v>3.6647597254004576</v>
      </c>
    </row>
    <row r="308">
      <c r="A308" s="35">
        <v>45964.0</v>
      </c>
      <c r="B308" s="4">
        <v>22978.0</v>
      </c>
      <c r="C308" s="4">
        <v>301.0</v>
      </c>
      <c r="D308" s="36">
        <v>303.0</v>
      </c>
      <c r="E308" s="4">
        <v>5.0</v>
      </c>
      <c r="F308" s="36">
        <v>1016.0</v>
      </c>
      <c r="G308" s="4">
        <v>0.013099486465314648</v>
      </c>
      <c r="H308" s="4">
        <v>0.016611295681063124</v>
      </c>
      <c r="I308" s="4">
        <v>13.18652624249282</v>
      </c>
      <c r="J308" s="4">
        <v>1.0066445182724253</v>
      </c>
      <c r="K308" s="4">
        <v>203.2</v>
      </c>
      <c r="L308" s="4">
        <v>3.3531353135313533</v>
      </c>
    </row>
    <row r="309">
      <c r="A309" s="35">
        <v>45965.0</v>
      </c>
      <c r="B309" s="4">
        <v>22356.0</v>
      </c>
      <c r="C309" s="4">
        <v>282.0</v>
      </c>
      <c r="D309" s="36">
        <v>352.0</v>
      </c>
      <c r="E309" s="4">
        <v>5.0</v>
      </c>
      <c r="F309" s="36">
        <v>727.0</v>
      </c>
      <c r="G309" s="4">
        <v>0.01261406333870102</v>
      </c>
      <c r="H309" s="4">
        <v>0.01773049645390071</v>
      </c>
      <c r="I309" s="4">
        <v>15.745213812846663</v>
      </c>
      <c r="J309" s="4">
        <v>1.24822695035461</v>
      </c>
      <c r="K309" s="4">
        <v>145.4</v>
      </c>
      <c r="L309" s="4">
        <v>2.065340909090909</v>
      </c>
    </row>
    <row r="310">
      <c r="A310" s="35">
        <v>45966.0</v>
      </c>
      <c r="B310" s="4">
        <v>30617.0</v>
      </c>
      <c r="C310" s="4">
        <v>578.0</v>
      </c>
      <c r="D310" s="36">
        <v>609.0</v>
      </c>
      <c r="E310" s="4">
        <v>12.0</v>
      </c>
      <c r="F310" s="36">
        <v>1928.0</v>
      </c>
      <c r="G310" s="4">
        <v>0.018878400888395337</v>
      </c>
      <c r="H310" s="4">
        <v>0.020761245674740483</v>
      </c>
      <c r="I310" s="4">
        <v>19.890910278603393</v>
      </c>
      <c r="J310" s="4">
        <v>1.0536332179930796</v>
      </c>
      <c r="K310" s="4">
        <v>160.66666666666666</v>
      </c>
      <c r="L310" s="4">
        <v>3.1658456486042694</v>
      </c>
    </row>
    <row r="311">
      <c r="A311" s="35">
        <v>45967.0</v>
      </c>
      <c r="B311" s="4">
        <v>105759.0</v>
      </c>
      <c r="C311" s="4">
        <v>3339.0</v>
      </c>
      <c r="D311" s="36">
        <v>2154.0</v>
      </c>
      <c r="E311" s="4">
        <v>77.0</v>
      </c>
      <c r="F311" s="36">
        <v>13277.0</v>
      </c>
      <c r="G311" s="4">
        <v>0.031571781125010634</v>
      </c>
      <c r="H311" s="4">
        <v>0.023060796645702306</v>
      </c>
      <c r="I311" s="4">
        <v>20.367060959350976</v>
      </c>
      <c r="J311" s="4">
        <v>0.6451033243486074</v>
      </c>
      <c r="K311" s="4">
        <v>172.42857142857142</v>
      </c>
      <c r="L311" s="4">
        <v>6.163881151346333</v>
      </c>
    </row>
    <row r="312">
      <c r="A312" s="35">
        <v>45968.0</v>
      </c>
      <c r="B312" s="4">
        <v>47770.0</v>
      </c>
      <c r="C312" s="4">
        <v>832.0</v>
      </c>
      <c r="D312" s="36">
        <v>951.0</v>
      </c>
      <c r="E312" s="4">
        <v>16.0</v>
      </c>
      <c r="F312" s="36">
        <v>1892.0</v>
      </c>
      <c r="G312" s="4">
        <v>0.017416788779568766</v>
      </c>
      <c r="H312" s="4">
        <v>0.019230769230769232</v>
      </c>
      <c r="I312" s="4">
        <v>19.907891982415745</v>
      </c>
      <c r="J312" s="4">
        <v>1.1430288461538463</v>
      </c>
      <c r="K312" s="4">
        <v>118.25</v>
      </c>
      <c r="L312" s="4">
        <v>1.989484752891693</v>
      </c>
    </row>
    <row r="313">
      <c r="A313" s="35">
        <v>45969.0</v>
      </c>
      <c r="B313" s="4">
        <v>102215.0</v>
      </c>
      <c r="C313" s="4">
        <v>2596.0</v>
      </c>
      <c r="D313" s="36">
        <v>2138.0</v>
      </c>
      <c r="E313" s="4">
        <v>67.0</v>
      </c>
      <c r="F313" s="36">
        <v>10821.0</v>
      </c>
      <c r="G313" s="4">
        <v>0.02539744655872426</v>
      </c>
      <c r="H313" s="4">
        <v>0.02580893682588598</v>
      </c>
      <c r="I313" s="4">
        <v>20.916695201291397</v>
      </c>
      <c r="J313" s="4">
        <v>0.8235747303543913</v>
      </c>
      <c r="K313" s="4">
        <v>161.50746268656715</v>
      </c>
      <c r="L313" s="4">
        <v>5.061272217025257</v>
      </c>
    </row>
    <row r="314">
      <c r="A314" s="35">
        <v>45970.0</v>
      </c>
      <c r="B314" s="4">
        <v>79967.0</v>
      </c>
      <c r="C314" s="4">
        <v>1954.0</v>
      </c>
      <c r="D314" s="36">
        <v>2126.0</v>
      </c>
      <c r="E314" s="4">
        <v>49.0</v>
      </c>
      <c r="F314" s="36">
        <v>7434.0</v>
      </c>
      <c r="G314" s="4">
        <v>0.024435079470281493</v>
      </c>
      <c r="H314" s="4">
        <v>0.025076765609007165</v>
      </c>
      <c r="I314" s="4">
        <v>26.585966711268398</v>
      </c>
      <c r="J314" s="4">
        <v>1.0880245649948823</v>
      </c>
      <c r="K314" s="4">
        <v>151.71428571428572</v>
      </c>
      <c r="L314" s="4">
        <v>3.4967074317968017</v>
      </c>
    </row>
    <row r="315">
      <c r="A315" s="35">
        <v>45971.0</v>
      </c>
      <c r="B315" s="4">
        <v>30876.0</v>
      </c>
      <c r="C315" s="4">
        <v>582.0</v>
      </c>
      <c r="D315" s="36">
        <v>442.0</v>
      </c>
      <c r="E315" s="4">
        <v>12.0</v>
      </c>
      <c r="F315" s="36">
        <v>1772.0</v>
      </c>
      <c r="G315" s="4">
        <v>0.018849591916051303</v>
      </c>
      <c r="H315" s="4">
        <v>0.020618556701030927</v>
      </c>
      <c r="I315" s="4">
        <v>14.31532581940666</v>
      </c>
      <c r="J315" s="4">
        <v>0.7594501718213058</v>
      </c>
      <c r="K315" s="4">
        <v>147.66666666666666</v>
      </c>
      <c r="L315" s="4">
        <v>4.009049773755656</v>
      </c>
    </row>
    <row r="316">
      <c r="A316" s="35">
        <v>45972.0</v>
      </c>
      <c r="B316" s="4">
        <v>49477.0</v>
      </c>
      <c r="C316" s="4">
        <v>541.0</v>
      </c>
      <c r="D316" s="36">
        <v>319.0</v>
      </c>
      <c r="E316" s="4">
        <v>13.0</v>
      </c>
      <c r="F316" s="36">
        <v>1516.0</v>
      </c>
      <c r="G316" s="4">
        <v>0.010934373547304808</v>
      </c>
      <c r="H316" s="4">
        <v>0.024029574861367836</v>
      </c>
      <c r="I316" s="4">
        <v>6.447440224750895</v>
      </c>
      <c r="J316" s="4">
        <v>0.589648798521257</v>
      </c>
      <c r="K316" s="4">
        <v>116.61538461538461</v>
      </c>
      <c r="L316" s="4">
        <v>4.752351097178684</v>
      </c>
    </row>
    <row r="317">
      <c r="A317" s="35">
        <v>45973.0</v>
      </c>
      <c r="B317" s="4">
        <v>64687.0</v>
      </c>
      <c r="C317" s="4">
        <v>881.0</v>
      </c>
      <c r="D317" s="36">
        <v>1077.0</v>
      </c>
      <c r="E317" s="4">
        <v>17.0</v>
      </c>
      <c r="F317" s="36">
        <v>3909.0</v>
      </c>
      <c r="G317" s="4">
        <v>0.013619428942445931</v>
      </c>
      <c r="H317" s="4">
        <v>0.019296254256526674</v>
      </c>
      <c r="I317" s="4">
        <v>16.649404053364663</v>
      </c>
      <c r="J317" s="4">
        <v>1.2224744608399547</v>
      </c>
      <c r="K317" s="4">
        <v>229.94117647058823</v>
      </c>
      <c r="L317" s="4">
        <v>3.629526462395543</v>
      </c>
    </row>
    <row r="318">
      <c r="A318" s="35">
        <v>45974.0</v>
      </c>
      <c r="B318" s="4">
        <v>105163.0</v>
      </c>
      <c r="C318" s="4">
        <v>3106.0</v>
      </c>
      <c r="D318" s="36">
        <v>2246.0</v>
      </c>
      <c r="E318" s="4">
        <v>37.0</v>
      </c>
      <c r="F318" s="36">
        <v>4117.0</v>
      </c>
      <c r="G318" s="4">
        <v>0.02953510265017164</v>
      </c>
      <c r="H318" s="4">
        <v>0.011912427559562138</v>
      </c>
      <c r="I318" s="4">
        <v>21.357321491399066</v>
      </c>
      <c r="J318" s="4">
        <v>0.7231165486155827</v>
      </c>
      <c r="K318" s="4">
        <v>111.27027027027027</v>
      </c>
      <c r="L318" s="4">
        <v>1.8330365093499554</v>
      </c>
    </row>
    <row r="319">
      <c r="A319" s="35">
        <v>45975.0</v>
      </c>
      <c r="B319" s="4">
        <v>93878.0</v>
      </c>
      <c r="C319" s="4">
        <v>1738.0</v>
      </c>
      <c r="D319" s="36">
        <v>1830.0</v>
      </c>
      <c r="E319" s="4">
        <v>22.0</v>
      </c>
      <c r="F319" s="36">
        <v>3306.0</v>
      </c>
      <c r="G319" s="4">
        <v>0.018513389718570913</v>
      </c>
      <c r="H319" s="4">
        <v>0.012658227848101266</v>
      </c>
      <c r="I319" s="4">
        <v>19.493385031636805</v>
      </c>
      <c r="J319" s="4">
        <v>1.052934407364787</v>
      </c>
      <c r="K319" s="4">
        <v>150.27272727272728</v>
      </c>
      <c r="L319" s="4">
        <v>1.8065573770491803</v>
      </c>
    </row>
    <row r="320">
      <c r="A320" s="35">
        <v>45976.0</v>
      </c>
      <c r="B320" s="4">
        <v>82506.0</v>
      </c>
      <c r="C320" s="4">
        <v>1380.0</v>
      </c>
      <c r="D320" s="36">
        <v>1089.0</v>
      </c>
      <c r="E320" s="4">
        <v>21.0</v>
      </c>
      <c r="F320" s="36">
        <v>2566.0</v>
      </c>
      <c r="G320" s="4">
        <v>0.016726056286815505</v>
      </c>
      <c r="H320" s="4">
        <v>0.015217391304347827</v>
      </c>
      <c r="I320" s="4">
        <v>13.199040069813103</v>
      </c>
      <c r="J320" s="4">
        <v>0.7891304347826087</v>
      </c>
      <c r="K320" s="4">
        <v>122.19047619047619</v>
      </c>
      <c r="L320" s="4">
        <v>2.356290174471993</v>
      </c>
    </row>
    <row r="321">
      <c r="A321" s="35">
        <v>45977.0</v>
      </c>
      <c r="B321" s="4">
        <v>60772.0</v>
      </c>
      <c r="C321" s="4">
        <v>774.0</v>
      </c>
      <c r="D321" s="36">
        <v>625.0</v>
      </c>
      <c r="E321" s="4">
        <v>14.0</v>
      </c>
      <c r="F321" s="36">
        <v>2168.0</v>
      </c>
      <c r="G321" s="4">
        <v>0.012736128480221154</v>
      </c>
      <c r="H321" s="4">
        <v>0.01808785529715762</v>
      </c>
      <c r="I321" s="4">
        <v>10.284341473046798</v>
      </c>
      <c r="J321" s="4">
        <v>0.8074935400516796</v>
      </c>
      <c r="K321" s="4">
        <v>154.85714285714286</v>
      </c>
      <c r="L321" s="4">
        <v>3.4688</v>
      </c>
    </row>
    <row r="322">
      <c r="A322" s="35">
        <v>45978.0</v>
      </c>
      <c r="B322" s="4">
        <v>75895.0</v>
      </c>
      <c r="C322" s="4">
        <v>2300.0</v>
      </c>
      <c r="D322" s="36">
        <v>2068.0</v>
      </c>
      <c r="E322" s="4">
        <v>60.0</v>
      </c>
      <c r="F322" s="36">
        <v>9409.0</v>
      </c>
      <c r="G322" s="4">
        <v>0.030305026681599578</v>
      </c>
      <c r="H322" s="4">
        <v>0.02608695652173913</v>
      </c>
      <c r="I322" s="4">
        <v>27.248171816325186</v>
      </c>
      <c r="J322" s="4">
        <v>0.8991304347826087</v>
      </c>
      <c r="K322" s="4">
        <v>156.81666666666666</v>
      </c>
      <c r="L322" s="4">
        <v>4.549806576402321</v>
      </c>
    </row>
    <row r="323">
      <c r="A323" s="35">
        <v>45979.0</v>
      </c>
      <c r="B323" s="4">
        <v>85574.0</v>
      </c>
      <c r="C323" s="4">
        <v>1380.0</v>
      </c>
      <c r="D323" s="36">
        <v>1193.0</v>
      </c>
      <c r="E323" s="4">
        <v>28.0</v>
      </c>
      <c r="F323" s="36">
        <v>5019.0</v>
      </c>
      <c r="G323" s="4">
        <v>0.01612639353074532</v>
      </c>
      <c r="H323" s="4">
        <v>0.020289855072463767</v>
      </c>
      <c r="I323" s="4">
        <v>13.941150349405193</v>
      </c>
      <c r="J323" s="4">
        <v>0.8644927536231884</v>
      </c>
      <c r="K323" s="4">
        <v>179.25</v>
      </c>
      <c r="L323" s="4">
        <v>4.207041072925398</v>
      </c>
    </row>
    <row r="324">
      <c r="A324" s="35">
        <v>45980.0</v>
      </c>
      <c r="B324" s="4">
        <v>71516.0</v>
      </c>
      <c r="C324" s="4">
        <v>810.0</v>
      </c>
      <c r="D324" s="36">
        <v>1104.0</v>
      </c>
      <c r="E324" s="4">
        <v>13.0</v>
      </c>
      <c r="F324" s="36">
        <v>1996.0</v>
      </c>
      <c r="G324" s="4">
        <v>0.01132613680854634</v>
      </c>
      <c r="H324" s="4">
        <v>0.016049382716049384</v>
      </c>
      <c r="I324" s="4">
        <v>15.437104983500197</v>
      </c>
      <c r="J324" s="4">
        <v>1.362962962962963</v>
      </c>
      <c r="K324" s="4">
        <v>153.53846153846155</v>
      </c>
      <c r="L324" s="4">
        <v>1.8079710144927537</v>
      </c>
    </row>
    <row r="325">
      <c r="A325" s="35">
        <v>45981.0</v>
      </c>
      <c r="B325" s="4">
        <v>93071.0</v>
      </c>
      <c r="C325" s="4">
        <v>1752.0</v>
      </c>
      <c r="D325" s="36">
        <v>1370.0</v>
      </c>
      <c r="E325" s="4">
        <v>43.0</v>
      </c>
      <c r="F325" s="36">
        <v>7494.0</v>
      </c>
      <c r="G325" s="4">
        <v>0.018824338408311932</v>
      </c>
      <c r="H325" s="4">
        <v>0.02454337899543379</v>
      </c>
      <c r="I325" s="4">
        <v>14.719944988234788</v>
      </c>
      <c r="J325" s="4">
        <v>0.7819634703196348</v>
      </c>
      <c r="K325" s="4">
        <v>174.27906976744185</v>
      </c>
      <c r="L325" s="4">
        <v>5.47007299270073</v>
      </c>
    </row>
    <row r="326">
      <c r="A326" s="35">
        <v>45982.0</v>
      </c>
      <c r="B326" s="4">
        <v>34577.0</v>
      </c>
      <c r="C326" s="4">
        <v>355.0</v>
      </c>
      <c r="D326" s="36">
        <v>353.0</v>
      </c>
      <c r="E326" s="4">
        <v>7.0</v>
      </c>
      <c r="F326" s="36">
        <v>1639.0</v>
      </c>
      <c r="G326" s="4">
        <v>0.01026694045174538</v>
      </c>
      <c r="H326" s="4">
        <v>0.01971830985915493</v>
      </c>
      <c r="I326" s="4">
        <v>10.209098533707378</v>
      </c>
      <c r="J326" s="4">
        <v>0.9943661971830986</v>
      </c>
      <c r="K326" s="4">
        <v>234.14285714285714</v>
      </c>
      <c r="L326" s="4">
        <v>4.643059490084986</v>
      </c>
    </row>
    <row r="327">
      <c r="A327" s="35">
        <v>45983.0</v>
      </c>
      <c r="B327" s="4">
        <v>107430.0</v>
      </c>
      <c r="C327" s="4">
        <v>3134.0</v>
      </c>
      <c r="D327" s="36">
        <v>2650.0</v>
      </c>
      <c r="E327" s="4">
        <v>39.0</v>
      </c>
      <c r="F327" s="36">
        <v>5381.0</v>
      </c>
      <c r="G327" s="4">
        <v>0.029172484408452014</v>
      </c>
      <c r="H327" s="4">
        <v>0.01244416081684748</v>
      </c>
      <c r="I327" s="4">
        <v>24.667225169878062</v>
      </c>
      <c r="J327" s="4">
        <v>0.845564773452457</v>
      </c>
      <c r="K327" s="4">
        <v>137.97435897435898</v>
      </c>
      <c r="L327" s="4">
        <v>2.030566037735849</v>
      </c>
    </row>
    <row r="328">
      <c r="A328" s="35">
        <v>45984.0</v>
      </c>
      <c r="B328" s="4">
        <v>68697.0</v>
      </c>
      <c r="C328" s="4">
        <v>1033.0</v>
      </c>
      <c r="D328" s="36">
        <v>1007.0</v>
      </c>
      <c r="E328" s="4">
        <v>11.0</v>
      </c>
      <c r="F328" s="36">
        <v>2310.0</v>
      </c>
      <c r="G328" s="4">
        <v>0.015037046741487984</v>
      </c>
      <c r="H328" s="4">
        <v>0.010648596321393998</v>
      </c>
      <c r="I328" s="4">
        <v>14.658573154577347</v>
      </c>
      <c r="J328" s="4">
        <v>0.9748305905130688</v>
      </c>
      <c r="K328" s="4">
        <v>210.0</v>
      </c>
      <c r="L328" s="4">
        <v>2.2939424031777556</v>
      </c>
    </row>
    <row r="329">
      <c r="A329" s="35">
        <v>45985.0</v>
      </c>
      <c r="B329" s="4">
        <v>62015.0</v>
      </c>
      <c r="C329" s="4">
        <v>1020.0</v>
      </c>
      <c r="D329" s="36">
        <v>885.0</v>
      </c>
      <c r="E329" s="4">
        <v>12.0</v>
      </c>
      <c r="F329" s="36">
        <v>1911.0</v>
      </c>
      <c r="G329" s="4">
        <v>0.016447633637023302</v>
      </c>
      <c r="H329" s="4">
        <v>0.011764705882352941</v>
      </c>
      <c r="I329" s="4">
        <v>14.270740949770216</v>
      </c>
      <c r="J329" s="4">
        <v>0.8676470588235294</v>
      </c>
      <c r="K329" s="4">
        <v>159.25</v>
      </c>
      <c r="L329" s="4">
        <v>2.159322033898305</v>
      </c>
    </row>
    <row r="330">
      <c r="A330" s="35">
        <v>45986.0</v>
      </c>
      <c r="B330" s="4">
        <v>26230.0</v>
      </c>
      <c r="C330" s="4">
        <v>296.0</v>
      </c>
      <c r="D330" s="36">
        <v>277.0</v>
      </c>
      <c r="E330" s="4">
        <v>3.0</v>
      </c>
      <c r="F330" s="36">
        <v>700.0</v>
      </c>
      <c r="G330" s="4">
        <v>0.011284788410217308</v>
      </c>
      <c r="H330" s="4">
        <v>0.010135135135135136</v>
      </c>
      <c r="I330" s="4">
        <v>10.5604269919939</v>
      </c>
      <c r="J330" s="4">
        <v>0.9358108108108109</v>
      </c>
      <c r="K330" s="4">
        <v>233.33333333333334</v>
      </c>
      <c r="L330" s="4">
        <v>2.527075812274368</v>
      </c>
    </row>
    <row r="331">
      <c r="A331" s="35">
        <v>45987.0</v>
      </c>
      <c r="B331" s="4">
        <v>28554.0</v>
      </c>
      <c r="C331" s="4">
        <v>232.0</v>
      </c>
      <c r="D331" s="36">
        <v>239.0</v>
      </c>
      <c r="E331" s="4">
        <v>3.0</v>
      </c>
      <c r="F331" s="36">
        <v>548.0</v>
      </c>
      <c r="G331" s="4">
        <v>0.00812495622329621</v>
      </c>
      <c r="H331" s="4">
        <v>0.01293103448275862</v>
      </c>
      <c r="I331" s="4">
        <v>8.370105764516357</v>
      </c>
      <c r="J331" s="4">
        <v>1.0301724137931034</v>
      </c>
      <c r="K331" s="4">
        <v>182.66666666666666</v>
      </c>
      <c r="L331" s="4">
        <v>2.292887029288703</v>
      </c>
    </row>
    <row r="332">
      <c r="A332" s="35">
        <v>45988.0</v>
      </c>
      <c r="B332" s="4">
        <v>22922.0</v>
      </c>
      <c r="C332" s="4">
        <v>323.0</v>
      </c>
      <c r="D332" s="36">
        <v>329.0</v>
      </c>
      <c r="E332" s="4">
        <v>3.0</v>
      </c>
      <c r="F332" s="36">
        <v>727.0</v>
      </c>
      <c r="G332" s="4">
        <v>0.014091266032632405</v>
      </c>
      <c r="H332" s="4">
        <v>0.009287925696594427</v>
      </c>
      <c r="I332" s="4">
        <v>14.353023296396474</v>
      </c>
      <c r="J332" s="4">
        <v>1.0185758513931888</v>
      </c>
      <c r="K332" s="4">
        <v>242.33333333333334</v>
      </c>
      <c r="L332" s="4">
        <v>2.209726443768997</v>
      </c>
    </row>
    <row r="333">
      <c r="A333" s="35">
        <v>45989.0</v>
      </c>
      <c r="B333" s="4">
        <v>96010.0</v>
      </c>
      <c r="C333" s="4">
        <v>2502.0</v>
      </c>
      <c r="D333" s="36">
        <v>2679.0</v>
      </c>
      <c r="E333" s="4">
        <v>30.0</v>
      </c>
      <c r="F333" s="36">
        <v>3420.0</v>
      </c>
      <c r="G333" s="4">
        <v>0.02605978543901677</v>
      </c>
      <c r="H333" s="4">
        <v>0.011990407673860911</v>
      </c>
      <c r="I333" s="4">
        <v>27.90334340172899</v>
      </c>
      <c r="J333" s="4">
        <v>1.0707434052757794</v>
      </c>
      <c r="K333" s="4">
        <v>114.0</v>
      </c>
      <c r="L333" s="4">
        <v>1.2765957446808511</v>
      </c>
    </row>
    <row r="334">
      <c r="A334" s="35">
        <v>45990.0</v>
      </c>
      <c r="B334" s="4">
        <v>38758.0</v>
      </c>
      <c r="C334" s="4">
        <v>852.0</v>
      </c>
      <c r="D334" s="36">
        <v>894.0</v>
      </c>
      <c r="E334" s="4">
        <v>12.0</v>
      </c>
      <c r="F334" s="36">
        <v>2479.0</v>
      </c>
      <c r="G334" s="4">
        <v>0.021982558439547963</v>
      </c>
      <c r="H334" s="4">
        <v>0.014084507042253521</v>
      </c>
      <c r="I334" s="4">
        <v>23.066205686567933</v>
      </c>
      <c r="J334" s="4">
        <v>1.0492957746478873</v>
      </c>
      <c r="K334" s="4">
        <v>206.58333333333334</v>
      </c>
      <c r="L334" s="4">
        <v>2.772930648769575</v>
      </c>
    </row>
    <row r="335">
      <c r="A335" s="35">
        <v>45991.0</v>
      </c>
      <c r="B335" s="4">
        <v>45666.0</v>
      </c>
      <c r="C335" s="4">
        <v>1244.0</v>
      </c>
      <c r="D335" s="36">
        <v>1187.0</v>
      </c>
      <c r="E335" s="4">
        <v>20.0</v>
      </c>
      <c r="F335" s="36">
        <v>3903.0</v>
      </c>
      <c r="G335" s="4">
        <v>0.027241273595234965</v>
      </c>
      <c r="H335" s="4">
        <v>0.01607717041800643</v>
      </c>
      <c r="I335" s="4">
        <v>25.993080190951694</v>
      </c>
      <c r="J335" s="4">
        <v>0.9541800643086816</v>
      </c>
      <c r="K335" s="4">
        <v>195.15</v>
      </c>
      <c r="L335" s="4">
        <v>3.2881213142375736</v>
      </c>
    </row>
    <row r="336">
      <c r="A336" s="35">
        <v>45992.0</v>
      </c>
      <c r="B336" s="4">
        <v>75919.0</v>
      </c>
      <c r="C336" s="4">
        <v>2098.0</v>
      </c>
      <c r="D336" s="36">
        <v>2418.0</v>
      </c>
      <c r="E336" s="4">
        <v>37.0</v>
      </c>
      <c r="F336" s="36">
        <v>5712.0</v>
      </c>
      <c r="G336" s="4">
        <v>0.02763471594725958</v>
      </c>
      <c r="H336" s="4">
        <v>0.01763584366062917</v>
      </c>
      <c r="I336" s="4">
        <v>31.849734585545125</v>
      </c>
      <c r="J336" s="4">
        <v>1.1525262154432794</v>
      </c>
      <c r="K336" s="4">
        <v>154.3783783783784</v>
      </c>
      <c r="L336" s="4">
        <v>2.3622828784119108</v>
      </c>
    </row>
    <row r="337">
      <c r="A337" s="35">
        <v>45993.0</v>
      </c>
      <c r="B337" s="4">
        <v>78510.0</v>
      </c>
      <c r="C337" s="4">
        <v>1614.0</v>
      </c>
      <c r="D337" s="36">
        <v>2062.0</v>
      </c>
      <c r="E337" s="4">
        <v>43.0</v>
      </c>
      <c r="F337" s="36">
        <v>6924.0</v>
      </c>
      <c r="G337" s="4">
        <v>0.020557890714558654</v>
      </c>
      <c r="H337" s="4">
        <v>0.02664188351920694</v>
      </c>
      <c r="I337" s="4">
        <v>26.26417016940517</v>
      </c>
      <c r="J337" s="4">
        <v>1.2775712515489468</v>
      </c>
      <c r="K337" s="4">
        <v>161.02325581395348</v>
      </c>
      <c r="L337" s="4">
        <v>3.357904946653734</v>
      </c>
    </row>
    <row r="338">
      <c r="A338" s="35">
        <v>45994.0</v>
      </c>
      <c r="B338" s="4">
        <v>55276.0</v>
      </c>
      <c r="C338" s="4">
        <v>647.0</v>
      </c>
      <c r="D338" s="36">
        <v>1018.0</v>
      </c>
      <c r="E338" s="4">
        <v>14.0</v>
      </c>
      <c r="F338" s="36">
        <v>2852.0</v>
      </c>
      <c r="G338" s="4">
        <v>0.011704899052029814</v>
      </c>
      <c r="H338" s="4">
        <v>0.021638330757341576</v>
      </c>
      <c r="I338" s="4">
        <v>18.41667269701136</v>
      </c>
      <c r="J338" s="4">
        <v>1.5734157650695517</v>
      </c>
      <c r="K338" s="4">
        <v>203.71428571428572</v>
      </c>
      <c r="L338" s="4">
        <v>2.8015717092337917</v>
      </c>
    </row>
    <row r="339">
      <c r="A339" s="35">
        <v>45995.0</v>
      </c>
      <c r="B339" s="4">
        <v>92609.0</v>
      </c>
      <c r="C339" s="4">
        <v>2428.0</v>
      </c>
      <c r="D339" s="36">
        <v>3901.0</v>
      </c>
      <c r="E339" s="4">
        <v>81.0</v>
      </c>
      <c r="F339" s="36">
        <v>11594.0</v>
      </c>
      <c r="G339" s="4">
        <v>0.02621775421395329</v>
      </c>
      <c r="H339" s="4">
        <v>0.033360790774299834</v>
      </c>
      <c r="I339" s="4">
        <v>42.123335744906</v>
      </c>
      <c r="J339" s="4">
        <v>1.60667215815486</v>
      </c>
      <c r="K339" s="4">
        <v>143.1358024691358</v>
      </c>
      <c r="L339" s="4">
        <v>2.972058446552166</v>
      </c>
    </row>
    <row r="340">
      <c r="A340" s="35">
        <v>45996.0</v>
      </c>
      <c r="B340" s="4">
        <v>66369.0</v>
      </c>
      <c r="C340" s="4">
        <v>735.0</v>
      </c>
      <c r="D340" s="36">
        <v>995.0</v>
      </c>
      <c r="E340" s="4">
        <v>24.0</v>
      </c>
      <c r="F340" s="36">
        <v>2436.0</v>
      </c>
      <c r="G340" s="4">
        <v>0.01107444740767527</v>
      </c>
      <c r="H340" s="4">
        <v>0.0326530612244898</v>
      </c>
      <c r="I340" s="4">
        <v>14.991939007669243</v>
      </c>
      <c r="J340" s="4">
        <v>1.3537414965986394</v>
      </c>
      <c r="K340" s="4">
        <v>101.5</v>
      </c>
      <c r="L340" s="4">
        <v>2.4482412060301506</v>
      </c>
    </row>
    <row r="341">
      <c r="A341" s="35">
        <v>45997.0</v>
      </c>
      <c r="B341" s="4">
        <v>50905.0</v>
      </c>
      <c r="C341" s="4">
        <v>1581.0</v>
      </c>
      <c r="D341" s="36">
        <v>2340.0</v>
      </c>
      <c r="E341" s="4">
        <v>30.0</v>
      </c>
      <c r="F341" s="36">
        <v>4082.0</v>
      </c>
      <c r="G341" s="4">
        <v>0.031057852863176506</v>
      </c>
      <c r="H341" s="4">
        <v>0.018975332068311195</v>
      </c>
      <c r="I341" s="4">
        <v>45.967979569786856</v>
      </c>
      <c r="J341" s="4">
        <v>1.4800759013282732</v>
      </c>
      <c r="K341" s="4">
        <v>136.06666666666666</v>
      </c>
      <c r="L341" s="4">
        <v>1.7444444444444445</v>
      </c>
    </row>
    <row r="342">
      <c r="A342" s="35">
        <v>45998.0</v>
      </c>
      <c r="B342" s="4">
        <v>61287.0</v>
      </c>
      <c r="C342" s="4">
        <v>1317.0</v>
      </c>
      <c r="D342" s="36">
        <v>1657.0</v>
      </c>
      <c r="E342" s="4">
        <v>37.0</v>
      </c>
      <c r="F342" s="36">
        <v>4739.0</v>
      </c>
      <c r="G342" s="4">
        <v>0.021489059670076853</v>
      </c>
      <c r="H342" s="4">
        <v>0.02809415337889142</v>
      </c>
      <c r="I342" s="4">
        <v>27.03672883319464</v>
      </c>
      <c r="J342" s="4">
        <v>1.2581624905087319</v>
      </c>
      <c r="K342" s="4">
        <v>128.0810810810811</v>
      </c>
      <c r="L342" s="4">
        <v>2.859987929993965</v>
      </c>
    </row>
    <row r="343">
      <c r="A343" s="35">
        <v>45999.0</v>
      </c>
      <c r="B343" s="4">
        <v>87758.0</v>
      </c>
      <c r="C343" s="4">
        <v>1633.0</v>
      </c>
      <c r="D343" s="36">
        <v>2491.0</v>
      </c>
      <c r="E343" s="4">
        <v>37.0</v>
      </c>
      <c r="F343" s="36">
        <v>6428.0</v>
      </c>
      <c r="G343" s="4">
        <v>0.018607990154743726</v>
      </c>
      <c r="H343" s="4">
        <v>0.0226576852418861</v>
      </c>
      <c r="I343" s="4">
        <v>28.384876592447412</v>
      </c>
      <c r="J343" s="4">
        <v>1.5254133496631965</v>
      </c>
      <c r="K343" s="4">
        <v>173.72972972972974</v>
      </c>
      <c r="L343" s="4">
        <v>2.5804897631473303</v>
      </c>
    </row>
    <row r="344">
      <c r="A344" s="35">
        <v>46000.0</v>
      </c>
      <c r="B344" s="4">
        <v>57427.0</v>
      </c>
      <c r="C344" s="4">
        <v>1643.0</v>
      </c>
      <c r="D344" s="36">
        <v>2313.0</v>
      </c>
      <c r="E344" s="4">
        <v>49.0</v>
      </c>
      <c r="F344" s="36">
        <v>5060.0</v>
      </c>
      <c r="G344" s="4">
        <v>0.028610235603461785</v>
      </c>
      <c r="H344" s="4">
        <v>0.02982349360925137</v>
      </c>
      <c r="I344" s="4">
        <v>40.27722151601163</v>
      </c>
      <c r="J344" s="4">
        <v>1.4077906269020086</v>
      </c>
      <c r="K344" s="4">
        <v>103.26530612244898</v>
      </c>
      <c r="L344" s="4">
        <v>2.187635105923044</v>
      </c>
    </row>
    <row r="345">
      <c r="A345" s="35">
        <v>46001.0</v>
      </c>
      <c r="B345" s="4">
        <v>37906.0</v>
      </c>
      <c r="C345" s="4">
        <v>824.0</v>
      </c>
      <c r="D345" s="36">
        <v>1292.0</v>
      </c>
      <c r="E345" s="4">
        <v>14.0</v>
      </c>
      <c r="F345" s="36">
        <v>1401.0</v>
      </c>
      <c r="G345" s="4">
        <v>0.021737983432701946</v>
      </c>
      <c r="H345" s="4">
        <v>0.01699029126213592</v>
      </c>
      <c r="I345" s="4">
        <v>34.084313828945284</v>
      </c>
      <c r="J345" s="4">
        <v>1.5679611650485437</v>
      </c>
      <c r="K345" s="4">
        <v>100.07142857142857</v>
      </c>
      <c r="L345" s="4">
        <v>1.0843653250773995</v>
      </c>
    </row>
    <row r="346">
      <c r="A346" s="35">
        <v>46002.0</v>
      </c>
      <c r="B346" s="4">
        <v>59431.0</v>
      </c>
      <c r="C346" s="4">
        <v>763.0</v>
      </c>
      <c r="D346" s="36">
        <v>1249.0</v>
      </c>
      <c r="E346" s="4">
        <v>12.0</v>
      </c>
      <c r="F346" s="36">
        <v>1779.0</v>
      </c>
      <c r="G346" s="4">
        <v>0.012838417660816745</v>
      </c>
      <c r="H346" s="4">
        <v>0.015727391874180863</v>
      </c>
      <c r="I346" s="4">
        <v>21.015968097457556</v>
      </c>
      <c r="J346" s="4">
        <v>1.636959370904325</v>
      </c>
      <c r="K346" s="4">
        <v>148.25</v>
      </c>
      <c r="L346" s="4">
        <v>1.4243394715772617</v>
      </c>
    </row>
    <row r="347">
      <c r="A347" s="35">
        <v>46003.0</v>
      </c>
      <c r="B347" s="4">
        <v>36557.0</v>
      </c>
      <c r="C347" s="4">
        <v>346.0</v>
      </c>
      <c r="D347" s="36">
        <v>510.0</v>
      </c>
      <c r="E347" s="4">
        <v>5.0</v>
      </c>
      <c r="F347" s="36">
        <v>515.0</v>
      </c>
      <c r="G347" s="4">
        <v>0.009464671608720629</v>
      </c>
      <c r="H347" s="4">
        <v>0.014450867052023121</v>
      </c>
      <c r="I347" s="4">
        <v>13.950816533085318</v>
      </c>
      <c r="J347" s="4">
        <v>1.4739884393063585</v>
      </c>
      <c r="K347" s="4">
        <v>103.0</v>
      </c>
      <c r="L347" s="4">
        <v>1.0098039215686274</v>
      </c>
    </row>
    <row r="348">
      <c r="A348" s="35">
        <v>46004.0</v>
      </c>
      <c r="B348" s="4">
        <v>84272.0</v>
      </c>
      <c r="C348" s="4">
        <v>2113.0</v>
      </c>
      <c r="D348" s="36">
        <v>2511.0</v>
      </c>
      <c r="E348" s="4">
        <v>58.0</v>
      </c>
      <c r="F348" s="36">
        <v>5962.0</v>
      </c>
      <c r="G348" s="4">
        <v>0.02507357129295614</v>
      </c>
      <c r="H348" s="4">
        <v>0.02744912446758164</v>
      </c>
      <c r="I348" s="4">
        <v>29.79637364723752</v>
      </c>
      <c r="J348" s="4">
        <v>1.1883577851396119</v>
      </c>
      <c r="K348" s="4">
        <v>102.79310344827586</v>
      </c>
      <c r="L348" s="4">
        <v>2.374352847471127</v>
      </c>
    </row>
    <row r="349">
      <c r="A349" s="35">
        <v>46005.0</v>
      </c>
      <c r="B349" s="4">
        <v>26243.0</v>
      </c>
      <c r="C349" s="4">
        <v>640.0</v>
      </c>
      <c r="D349" s="36">
        <v>1065.0</v>
      </c>
      <c r="E349" s="4">
        <v>13.0</v>
      </c>
      <c r="F349" s="36">
        <v>2217.0</v>
      </c>
      <c r="G349" s="4">
        <v>0.02438745570247304</v>
      </c>
      <c r="H349" s="4">
        <v>0.0203125</v>
      </c>
      <c r="I349" s="4">
        <v>40.58225050489654</v>
      </c>
      <c r="J349" s="4">
        <v>1.6640625</v>
      </c>
      <c r="K349" s="4">
        <v>170.53846153846155</v>
      </c>
      <c r="L349" s="4">
        <v>2.0816901408450703</v>
      </c>
    </row>
    <row r="350">
      <c r="A350" s="35">
        <v>46006.0</v>
      </c>
      <c r="B350" s="4">
        <v>86600.0</v>
      </c>
      <c r="C350" s="4">
        <v>2739.0</v>
      </c>
      <c r="D350" s="36">
        <v>3791.0</v>
      </c>
      <c r="E350" s="4">
        <v>79.0</v>
      </c>
      <c r="F350" s="36">
        <v>5597.0</v>
      </c>
      <c r="G350" s="4">
        <v>0.031628175519630486</v>
      </c>
      <c r="H350" s="4">
        <v>0.028842643300474625</v>
      </c>
      <c r="I350" s="4">
        <v>43.77598152424942</v>
      </c>
      <c r="J350" s="4">
        <v>1.3840817816721431</v>
      </c>
      <c r="K350" s="4">
        <v>70.84810126582279</v>
      </c>
      <c r="L350" s="4">
        <v>1.4763914534423634</v>
      </c>
    </row>
    <row r="351">
      <c r="A351" s="35">
        <v>46007.0</v>
      </c>
      <c r="B351" s="4">
        <v>72407.0</v>
      </c>
      <c r="C351" s="4">
        <v>2202.0</v>
      </c>
      <c r="D351" s="36">
        <v>2457.0</v>
      </c>
      <c r="E351" s="4">
        <v>73.0</v>
      </c>
      <c r="F351" s="36">
        <v>11209.0</v>
      </c>
      <c r="G351" s="4">
        <v>0.0304114243098043</v>
      </c>
      <c r="H351" s="4">
        <v>0.033151680290644865</v>
      </c>
      <c r="I351" s="4">
        <v>33.933183255762565</v>
      </c>
      <c r="J351" s="4">
        <v>1.1158038147138964</v>
      </c>
      <c r="K351" s="4">
        <v>153.54794520547946</v>
      </c>
      <c r="L351" s="4">
        <v>4.562067562067562</v>
      </c>
    </row>
    <row r="352">
      <c r="A352" s="35">
        <v>46008.0</v>
      </c>
      <c r="B352" s="4">
        <v>39996.0</v>
      </c>
      <c r="C352" s="4">
        <v>685.0</v>
      </c>
      <c r="D352" s="36">
        <v>769.0</v>
      </c>
      <c r="E352" s="4">
        <v>11.0</v>
      </c>
      <c r="F352" s="36">
        <v>1781.0</v>
      </c>
      <c r="G352" s="4">
        <v>0.017126712671267127</v>
      </c>
      <c r="H352" s="4">
        <v>0.016058394160583942</v>
      </c>
      <c r="I352" s="4">
        <v>19.226922692269227</v>
      </c>
      <c r="J352" s="4">
        <v>1.1226277372262774</v>
      </c>
      <c r="K352" s="4">
        <v>161.9090909090909</v>
      </c>
      <c r="L352" s="4">
        <v>2.3159947984395317</v>
      </c>
    </row>
    <row r="353">
      <c r="A353" s="35">
        <v>46009.0</v>
      </c>
      <c r="B353" s="4">
        <v>74822.0</v>
      </c>
      <c r="C353" s="4">
        <v>1589.0</v>
      </c>
      <c r="D353" s="36">
        <v>2131.0</v>
      </c>
      <c r="E353" s="4">
        <v>40.0</v>
      </c>
      <c r="F353" s="36">
        <v>5856.0</v>
      </c>
      <c r="G353" s="4">
        <v>0.021237069311165164</v>
      </c>
      <c r="H353" s="4">
        <v>0.025173064820641914</v>
      </c>
      <c r="I353" s="4">
        <v>28.480928069284435</v>
      </c>
      <c r="J353" s="4">
        <v>1.3410950283196978</v>
      </c>
      <c r="K353" s="4">
        <v>146.4</v>
      </c>
      <c r="L353" s="4">
        <v>2.74800563115908</v>
      </c>
    </row>
    <row r="354">
      <c r="A354" s="35">
        <v>46010.0</v>
      </c>
      <c r="B354" s="4">
        <v>65011.0</v>
      </c>
      <c r="C354" s="4">
        <v>2207.0</v>
      </c>
      <c r="D354" s="36">
        <v>3436.0</v>
      </c>
      <c r="E354" s="4">
        <v>49.0</v>
      </c>
      <c r="F354" s="36">
        <v>4809.0</v>
      </c>
      <c r="G354" s="4">
        <v>0.03394810109058467</v>
      </c>
      <c r="H354" s="4">
        <v>0.022202084277299503</v>
      </c>
      <c r="I354" s="4">
        <v>52.852594176370154</v>
      </c>
      <c r="J354" s="4">
        <v>1.5568645219755324</v>
      </c>
      <c r="K354" s="4">
        <v>98.14285714285714</v>
      </c>
      <c r="L354" s="4">
        <v>1.399592549476135</v>
      </c>
    </row>
    <row r="355">
      <c r="A355" s="35">
        <v>46011.0</v>
      </c>
      <c r="B355" s="4">
        <v>89340.0</v>
      </c>
      <c r="C355" s="4">
        <v>2314.0</v>
      </c>
      <c r="D355" s="36">
        <v>2856.0</v>
      </c>
      <c r="E355" s="4">
        <v>42.0</v>
      </c>
      <c r="F355" s="36">
        <v>6143.0</v>
      </c>
      <c r="G355" s="4">
        <v>0.025901052160286545</v>
      </c>
      <c r="H355" s="4">
        <v>0.018150388936905792</v>
      </c>
      <c r="I355" s="4">
        <v>31.967763599731366</v>
      </c>
      <c r="J355" s="4">
        <v>1.2342264477095939</v>
      </c>
      <c r="K355" s="4">
        <v>146.26190476190476</v>
      </c>
      <c r="L355" s="4">
        <v>2.150910364145658</v>
      </c>
    </row>
    <row r="356">
      <c r="A356" s="35">
        <v>46012.0</v>
      </c>
      <c r="B356" s="4">
        <v>28734.0</v>
      </c>
      <c r="C356" s="4">
        <v>274.0</v>
      </c>
      <c r="D356" s="36">
        <v>312.0</v>
      </c>
      <c r="E356" s="4">
        <v>5.0</v>
      </c>
      <c r="F356" s="36">
        <v>779.0</v>
      </c>
      <c r="G356" s="4">
        <v>0.009535741630124592</v>
      </c>
      <c r="H356" s="4">
        <v>0.01824817518248175</v>
      </c>
      <c r="I356" s="4">
        <v>10.858216746711213</v>
      </c>
      <c r="J356" s="4">
        <v>1.1386861313868613</v>
      </c>
      <c r="K356" s="4">
        <v>155.8</v>
      </c>
      <c r="L356" s="4">
        <v>2.496794871794872</v>
      </c>
    </row>
    <row r="357">
      <c r="A357" s="35">
        <v>46013.0</v>
      </c>
      <c r="B357" s="4">
        <v>58608.0</v>
      </c>
      <c r="C357" s="4">
        <v>956.0</v>
      </c>
      <c r="D357" s="36">
        <v>1166.0</v>
      </c>
      <c r="E357" s="4">
        <v>17.0</v>
      </c>
      <c r="F357" s="36">
        <v>1734.0</v>
      </c>
      <c r="G357" s="4">
        <v>0.016311766311766313</v>
      </c>
      <c r="H357" s="4">
        <v>0.01778242677824268</v>
      </c>
      <c r="I357" s="4">
        <v>19.894894894894893</v>
      </c>
      <c r="J357" s="4">
        <v>1.2196652719665273</v>
      </c>
      <c r="K357" s="4">
        <v>102.0</v>
      </c>
      <c r="L357" s="4">
        <v>1.4871355060034306</v>
      </c>
    </row>
    <row r="358">
      <c r="A358" s="35">
        <v>46014.0</v>
      </c>
      <c r="B358" s="4">
        <v>59262.0</v>
      </c>
      <c r="C358" s="4">
        <v>700.0</v>
      </c>
      <c r="D358" s="36">
        <v>874.0</v>
      </c>
      <c r="E358" s="4">
        <v>21.0</v>
      </c>
      <c r="F358" s="36">
        <v>2884.0</v>
      </c>
      <c r="G358" s="4">
        <v>0.011811953697141508</v>
      </c>
      <c r="H358" s="4">
        <v>0.03</v>
      </c>
      <c r="I358" s="4">
        <v>14.748067901859539</v>
      </c>
      <c r="J358" s="4">
        <v>1.2485714285714287</v>
      </c>
      <c r="K358" s="4">
        <v>137.33333333333334</v>
      </c>
      <c r="L358" s="4">
        <v>3.2997711670480547</v>
      </c>
    </row>
    <row r="359">
      <c r="A359" s="35">
        <v>46015.0</v>
      </c>
      <c r="B359" s="4">
        <v>73767.0</v>
      </c>
      <c r="C359" s="4">
        <v>1761.0</v>
      </c>
      <c r="D359" s="36">
        <v>1722.0</v>
      </c>
      <c r="E359" s="4">
        <v>36.0</v>
      </c>
      <c r="F359" s="36">
        <v>4101.0</v>
      </c>
      <c r="G359" s="4">
        <v>0.02387246329659604</v>
      </c>
      <c r="H359" s="4">
        <v>0.020442930153321975</v>
      </c>
      <c r="I359" s="4">
        <v>23.34377160518931</v>
      </c>
      <c r="J359" s="4">
        <v>0.9778534923339012</v>
      </c>
      <c r="K359" s="4">
        <v>113.91666666666667</v>
      </c>
      <c r="L359" s="4">
        <v>2.3815331010452963</v>
      </c>
    </row>
    <row r="360">
      <c r="A360" s="35">
        <v>46016.0</v>
      </c>
      <c r="B360" s="4">
        <v>90803.0</v>
      </c>
      <c r="C360" s="4">
        <v>1235.0</v>
      </c>
      <c r="D360" s="36">
        <v>1204.0</v>
      </c>
      <c r="E360" s="4">
        <v>29.0</v>
      </c>
      <c r="F360" s="36">
        <v>2943.0</v>
      </c>
      <c r="G360" s="4">
        <v>0.013600872217878264</v>
      </c>
      <c r="H360" s="4">
        <v>0.02348178137651822</v>
      </c>
      <c r="I360" s="4">
        <v>13.259473805931522</v>
      </c>
      <c r="J360" s="4">
        <v>0.9748987854251012</v>
      </c>
      <c r="K360" s="4">
        <v>101.48275862068965</v>
      </c>
      <c r="L360" s="4">
        <v>2.4443521594684388</v>
      </c>
    </row>
    <row r="361">
      <c r="A361" s="35">
        <v>46017.0</v>
      </c>
      <c r="B361" s="4">
        <v>35548.0</v>
      </c>
      <c r="C361" s="4">
        <v>568.0</v>
      </c>
      <c r="D361" s="36">
        <v>602.0</v>
      </c>
      <c r="E361" s="4">
        <v>9.0</v>
      </c>
      <c r="F361" s="36">
        <v>1336.0</v>
      </c>
      <c r="G361" s="4">
        <v>0.015978395409024418</v>
      </c>
      <c r="H361" s="4">
        <v>0.01584507042253521</v>
      </c>
      <c r="I361" s="4">
        <v>16.934848655339263</v>
      </c>
      <c r="J361" s="4">
        <v>1.0598591549295775</v>
      </c>
      <c r="K361" s="4">
        <v>148.44444444444446</v>
      </c>
      <c r="L361" s="4">
        <v>2.219269102990033</v>
      </c>
    </row>
    <row r="362">
      <c r="A362" s="35">
        <v>46018.0</v>
      </c>
      <c r="B362" s="4">
        <v>84233.0</v>
      </c>
      <c r="C362" s="4">
        <v>2171.0</v>
      </c>
      <c r="D362" s="36">
        <v>1948.0</v>
      </c>
      <c r="E362" s="4">
        <v>37.0</v>
      </c>
      <c r="F362" s="36">
        <v>4579.0</v>
      </c>
      <c r="G362" s="4">
        <v>0.025773746631367753</v>
      </c>
      <c r="H362" s="4">
        <v>0.01704283740211884</v>
      </c>
      <c r="I362" s="4">
        <v>23.126328161171987</v>
      </c>
      <c r="J362" s="4">
        <v>0.8972823583602026</v>
      </c>
      <c r="K362" s="4">
        <v>123.75675675675676</v>
      </c>
      <c r="L362" s="4">
        <v>2.3506160164271046</v>
      </c>
    </row>
    <row r="363">
      <c r="A363" s="35">
        <v>46019.0</v>
      </c>
      <c r="B363" s="4">
        <v>75236.0</v>
      </c>
      <c r="C363" s="4">
        <v>2160.0</v>
      </c>
      <c r="D363" s="36">
        <v>3188.0</v>
      </c>
      <c r="E363" s="4">
        <v>46.0</v>
      </c>
      <c r="F363" s="36">
        <v>5751.0</v>
      </c>
      <c r="G363" s="4">
        <v>0.02870966026902015</v>
      </c>
      <c r="H363" s="4">
        <v>0.021296296296296296</v>
      </c>
      <c r="I363" s="4">
        <v>42.37333191557234</v>
      </c>
      <c r="J363" s="4">
        <v>1.4759259259259259</v>
      </c>
      <c r="K363" s="4">
        <v>125.02173913043478</v>
      </c>
      <c r="L363" s="4">
        <v>1.803952321204517</v>
      </c>
    </row>
    <row r="364">
      <c r="A364" s="35">
        <v>46020.0</v>
      </c>
      <c r="B364" s="4">
        <v>57807.0</v>
      </c>
      <c r="C364" s="4">
        <v>969.0</v>
      </c>
      <c r="D364" s="36">
        <v>959.0</v>
      </c>
      <c r="E364" s="4">
        <v>16.0</v>
      </c>
      <c r="F364" s="36">
        <v>1453.0</v>
      </c>
      <c r="G364" s="4">
        <v>0.016762675800508588</v>
      </c>
      <c r="H364" s="4">
        <v>0.016511867905056758</v>
      </c>
      <c r="I364" s="4">
        <v>16.58968637016278</v>
      </c>
      <c r="J364" s="4">
        <v>0.9896800825593395</v>
      </c>
      <c r="K364" s="4">
        <v>90.8125</v>
      </c>
      <c r="L364" s="4">
        <v>1.5151199165797706</v>
      </c>
    </row>
    <row r="365">
      <c r="A365" s="35">
        <v>46021.0</v>
      </c>
      <c r="B365" s="4">
        <v>48189.0</v>
      </c>
      <c r="C365" s="4">
        <v>1097.0</v>
      </c>
      <c r="D365" s="36">
        <v>1362.0</v>
      </c>
      <c r="E365" s="4">
        <v>24.0</v>
      </c>
      <c r="F365" s="36">
        <v>4209.0</v>
      </c>
      <c r="G365" s="4">
        <v>0.022764531324576148</v>
      </c>
      <c r="H365" s="4">
        <v>0.02187784867821331</v>
      </c>
      <c r="I365" s="4">
        <v>28.26371163543547</v>
      </c>
      <c r="J365" s="4">
        <v>1.2415679124886052</v>
      </c>
      <c r="K365" s="4">
        <v>175.375</v>
      </c>
      <c r="L365" s="4">
        <v>3.090308370044053</v>
      </c>
    </row>
    <row r="366">
      <c r="A366" s="35">
        <v>46022.0</v>
      </c>
      <c r="B366" s="4">
        <v>79467.0</v>
      </c>
      <c r="C366" s="4">
        <v>2002.0</v>
      </c>
      <c r="D366" s="36">
        <v>2063.0</v>
      </c>
      <c r="E366" s="4">
        <v>46.0</v>
      </c>
      <c r="F366" s="36">
        <v>5993.0</v>
      </c>
      <c r="G366" s="4">
        <v>0.025192847345438987</v>
      </c>
      <c r="H366" s="4">
        <v>0.022977022977022976</v>
      </c>
      <c r="I366" s="4">
        <v>25.96046157524507</v>
      </c>
      <c r="J366" s="4">
        <v>1.0304695304695304</v>
      </c>
      <c r="K366" s="4">
        <v>130.2826086956522</v>
      </c>
      <c r="L366" s="4">
        <v>2.9049927290353854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0.88"/>
    <col customWidth="1" min="5" max="5" width="14.13"/>
  </cols>
  <sheetData>
    <row r="1">
      <c r="A1" s="26" t="s">
        <v>6</v>
      </c>
      <c r="B1" s="26" t="s">
        <v>1</v>
      </c>
      <c r="C1" s="27" t="s">
        <v>2</v>
      </c>
      <c r="D1" s="26" t="s">
        <v>40</v>
      </c>
      <c r="E1" s="26" t="s">
        <v>4</v>
      </c>
      <c r="F1" s="28" t="s">
        <v>41</v>
      </c>
      <c r="G1" s="29"/>
      <c r="H1" s="29"/>
      <c r="I1" s="29"/>
      <c r="J1" s="29"/>
      <c r="K1" s="29"/>
      <c r="L1" s="29"/>
      <c r="M1" s="29"/>
      <c r="N1" s="29"/>
      <c r="O1" s="29"/>
      <c r="P1" s="29"/>
      <c r="Q1" s="29"/>
      <c r="R1" s="29"/>
      <c r="S1" s="29"/>
      <c r="T1" s="29"/>
      <c r="U1" s="29"/>
      <c r="V1" s="29"/>
      <c r="W1" s="29"/>
      <c r="X1" s="29"/>
      <c r="Y1" s="29"/>
      <c r="Z1" s="29"/>
    </row>
    <row r="2">
      <c r="A2" s="30">
        <v>1.0</v>
      </c>
      <c r="B2" s="31">
        <f>SUMIF('TikTok Ads Raw Data'!$G:$G,A2,'TikTok Ads Raw Data'!$B:$B)</f>
        <v>2112620</v>
      </c>
      <c r="C2" s="32">
        <f>SUMIF('TikTok Ads Raw Data'!$G:$G,A2,'TikTok Ads Raw Data'!$C:$C)</f>
        <v>41019</v>
      </c>
      <c r="D2" s="31">
        <f>SUMIF('TikTok Ads Raw Data'!$G:$G,A2,'TikTok Ads Raw Data'!$D:$D)</f>
        <v>40140</v>
      </c>
      <c r="E2" s="31">
        <f>SUMIF('TikTok Ads Raw Data'!$G:$G,A2,'TikTok Ads Raw Data'!$E:$E)</f>
        <v>739</v>
      </c>
      <c r="F2" s="33">
        <f>SUMIF('TikTok Ads Raw Data'!$G:$G,A2,'TikTok Ads Raw Data'!$F:$F)</f>
        <v>124409</v>
      </c>
    </row>
    <row r="3">
      <c r="A3" s="30">
        <v>2.0</v>
      </c>
      <c r="B3" s="31">
        <f>SUMIF('TikTok Ads Raw Data'!$G:$G,A3,'TikTok Ads Raw Data'!$B:$B)</f>
        <v>1949003</v>
      </c>
      <c r="C3" s="32">
        <f>SUMIF('TikTok Ads Raw Data'!$G:$G,A3,'TikTok Ads Raw Data'!$C:$C)</f>
        <v>39714</v>
      </c>
      <c r="D3" s="31">
        <f>SUMIF('TikTok Ads Raw Data'!$G:$G,A3,'TikTok Ads Raw Data'!$D:$D)</f>
        <v>37924</v>
      </c>
      <c r="E3" s="31">
        <f>SUMIF('TikTok Ads Raw Data'!$G:$G,A3,'TikTok Ads Raw Data'!$E:$E)</f>
        <v>675</v>
      </c>
      <c r="F3" s="33">
        <f>SUMIF('TikTok Ads Raw Data'!$G:$G,A3,'TikTok Ads Raw Data'!$F:$F)</f>
        <v>113330</v>
      </c>
    </row>
    <row r="4">
      <c r="A4" s="30">
        <v>3.0</v>
      </c>
      <c r="B4" s="31">
        <f>SUMIF('TikTok Ads Raw Data'!$G:$G,A4,'TikTok Ads Raw Data'!$B:$B)</f>
        <v>1893765</v>
      </c>
      <c r="C4" s="32">
        <f>SUMIF('TikTok Ads Raw Data'!$G:$G,A4,'TikTok Ads Raw Data'!$C:$C)</f>
        <v>39636</v>
      </c>
      <c r="D4" s="31">
        <f>SUMIF('TikTok Ads Raw Data'!$G:$G,A4,'TikTok Ads Raw Data'!$D:$D)</f>
        <v>37093</v>
      </c>
      <c r="E4" s="31">
        <f>SUMIF('TikTok Ads Raw Data'!$G:$G,A4,'TikTok Ads Raw Data'!$E:$E)</f>
        <v>745</v>
      </c>
      <c r="F4" s="33">
        <f>SUMIF('TikTok Ads Raw Data'!$G:$G,A4,'TikTok Ads Raw Data'!$F:$F)</f>
        <v>116041</v>
      </c>
    </row>
    <row r="5">
      <c r="A5" s="30">
        <v>4.0</v>
      </c>
      <c r="B5" s="31">
        <f>SUMIF('TikTok Ads Raw Data'!$G:$G,A5,'TikTok Ads Raw Data'!$B:$B)</f>
        <v>2282519</v>
      </c>
      <c r="C5" s="32">
        <f>SUMIF('TikTok Ads Raw Data'!$G:$G,A5,'TikTok Ads Raw Data'!$C:$C)</f>
        <v>47400</v>
      </c>
      <c r="D5" s="31">
        <f>SUMIF('TikTok Ads Raw Data'!$G:$G,A5,'TikTok Ads Raw Data'!$D:$D)</f>
        <v>47533</v>
      </c>
      <c r="E5" s="31">
        <f>SUMIF('TikTok Ads Raw Data'!$G:$G,A5,'TikTok Ads Raw Data'!$E:$E)</f>
        <v>887</v>
      </c>
      <c r="F5" s="33">
        <f>SUMIF('TikTok Ads Raw Data'!$G:$G,A5,'TikTok Ads Raw Data'!$F:$F)</f>
        <v>138187</v>
      </c>
    </row>
    <row r="6">
      <c r="A6" s="30">
        <v>5.0</v>
      </c>
      <c r="B6" s="31">
        <f>SUMIF('TikTok Ads Raw Data'!$G:$G,A6,'TikTok Ads Raw Data'!$B:$B)</f>
        <v>2165819</v>
      </c>
      <c r="C6" s="32">
        <f>SUMIF('TikTok Ads Raw Data'!$G:$G,A6,'TikTok Ads Raw Data'!$C:$C)</f>
        <v>44964</v>
      </c>
      <c r="D6" s="31">
        <f>SUMIF('TikTok Ads Raw Data'!$G:$G,A6,'TikTok Ads Raw Data'!$D:$D)</f>
        <v>46113</v>
      </c>
      <c r="E6" s="31">
        <f>SUMIF('TikTok Ads Raw Data'!$G:$G,A6,'TikTok Ads Raw Data'!$E:$E)</f>
        <v>868</v>
      </c>
      <c r="F6" s="33">
        <f>SUMIF('TikTok Ads Raw Data'!$G:$G,A6,'TikTok Ads Raw Data'!$F:$F)</f>
        <v>131777</v>
      </c>
    </row>
    <row r="7">
      <c r="A7" s="30">
        <v>6.0</v>
      </c>
      <c r="B7" s="31">
        <f>SUMIF('TikTok Ads Raw Data'!$G:$G,A7,'TikTok Ads Raw Data'!$B:$B)</f>
        <v>2051995</v>
      </c>
      <c r="C7" s="32">
        <f>SUMIF('TikTok Ads Raw Data'!$G:$G,A7,'TikTok Ads Raw Data'!$C:$C)</f>
        <v>46469</v>
      </c>
      <c r="D7" s="31">
        <f>SUMIF('TikTok Ads Raw Data'!$G:$G,A7,'TikTok Ads Raw Data'!$D:$D)</f>
        <v>45535</v>
      </c>
      <c r="E7" s="31">
        <f>SUMIF('TikTok Ads Raw Data'!$G:$G,A7,'TikTok Ads Raw Data'!$E:$E)</f>
        <v>867</v>
      </c>
      <c r="F7" s="33">
        <f>SUMIF('TikTok Ads Raw Data'!$G:$G,A7,'TikTok Ads Raw Data'!$F:$F)</f>
        <v>136097</v>
      </c>
    </row>
    <row r="8">
      <c r="A8" s="30">
        <v>7.0</v>
      </c>
      <c r="B8" s="31">
        <f>SUMIF('TikTok Ads Raw Data'!$G:$G,A8,'TikTok Ads Raw Data'!$B:$B)</f>
        <v>2321236</v>
      </c>
      <c r="C8" s="32">
        <f>SUMIF('TikTok Ads Raw Data'!$G:$G,A8,'TikTok Ads Raw Data'!$C:$C)</f>
        <v>52304</v>
      </c>
      <c r="D8" s="31">
        <f>SUMIF('TikTok Ads Raw Data'!$G:$G,A8,'TikTok Ads Raw Data'!$D:$D)</f>
        <v>45540</v>
      </c>
      <c r="E8" s="31">
        <f>SUMIF('TikTok Ads Raw Data'!$G:$G,A8,'TikTok Ads Raw Data'!$E:$E)</f>
        <v>909</v>
      </c>
      <c r="F8" s="33">
        <f>SUMIF('TikTok Ads Raw Data'!$G:$G,A8,'TikTok Ads Raw Data'!$F:$F)</f>
        <v>142209</v>
      </c>
    </row>
    <row r="9">
      <c r="A9" s="30">
        <v>8.0</v>
      </c>
      <c r="B9" s="31">
        <f>SUMIF('TikTok Ads Raw Data'!$G:$G,A9,'TikTok Ads Raw Data'!$B:$B)</f>
        <v>2515056</v>
      </c>
      <c r="C9" s="32">
        <f>SUMIF('TikTok Ads Raw Data'!$G:$G,A9,'TikTok Ads Raw Data'!$C:$C)</f>
        <v>51908</v>
      </c>
      <c r="D9" s="31">
        <f>SUMIF('TikTok Ads Raw Data'!$G:$G,A9,'TikTok Ads Raw Data'!$D:$D)</f>
        <v>44106</v>
      </c>
      <c r="E9" s="31">
        <f>SUMIF('TikTok Ads Raw Data'!$G:$G,A9,'TikTok Ads Raw Data'!$E:$E)</f>
        <v>916</v>
      </c>
      <c r="F9" s="33">
        <f>SUMIF('TikTok Ads Raw Data'!$G:$G,A9,'TikTok Ads Raw Data'!$F:$F)</f>
        <v>140844</v>
      </c>
    </row>
    <row r="10">
      <c r="A10" s="30">
        <v>9.0</v>
      </c>
      <c r="B10" s="31">
        <f>SUMIF('TikTok Ads Raw Data'!$G:$G,A10,'TikTok Ads Raw Data'!$B:$B)</f>
        <v>1846314</v>
      </c>
      <c r="C10" s="32">
        <f>SUMIF('TikTok Ads Raw Data'!$G:$G,A10,'TikTok Ads Raw Data'!$C:$C)</f>
        <v>36520</v>
      </c>
      <c r="D10" s="31">
        <f>SUMIF('TikTok Ads Raw Data'!$G:$G,A10,'TikTok Ads Raw Data'!$D:$D)</f>
        <v>35760</v>
      </c>
      <c r="E10" s="31">
        <f>SUMIF('TikTok Ads Raw Data'!$G:$G,A10,'TikTok Ads Raw Data'!$E:$E)</f>
        <v>682</v>
      </c>
      <c r="F10" s="33">
        <f>SUMIF('TikTok Ads Raw Data'!$G:$G,A10,'TikTok Ads Raw Data'!$F:$F)</f>
        <v>107590</v>
      </c>
    </row>
    <row r="11">
      <c r="A11" s="30">
        <v>10.0</v>
      </c>
      <c r="B11" s="31">
        <f>SUMIF('TikTok Ads Raw Data'!$G:$G,A11,'TikTok Ads Raw Data'!$B:$B)</f>
        <v>2115203</v>
      </c>
      <c r="C11" s="32">
        <f>SUMIF('TikTok Ads Raw Data'!$G:$G,A11,'TikTok Ads Raw Data'!$C:$C)</f>
        <v>45029</v>
      </c>
      <c r="D11" s="31">
        <f>SUMIF('TikTok Ads Raw Data'!$G:$G,A11,'TikTok Ads Raw Data'!$D:$D)</f>
        <v>39690</v>
      </c>
      <c r="E11" s="31">
        <f>SUMIF('TikTok Ads Raw Data'!$G:$G,A11,'TikTok Ads Raw Data'!$E:$E)</f>
        <v>858</v>
      </c>
      <c r="F11" s="33">
        <f>SUMIF('TikTok Ads Raw Data'!$G:$G,A11,'TikTok Ads Raw Data'!$F:$F)</f>
        <v>127829</v>
      </c>
    </row>
    <row r="12">
      <c r="A12" s="30">
        <v>11.0</v>
      </c>
      <c r="B12" s="31">
        <f>SUMIF('TikTok Ads Raw Data'!$G:$G,A12,'TikTok Ads Raw Data'!$B:$B)</f>
        <v>1882573</v>
      </c>
      <c r="C12" s="32">
        <f>SUMIF('TikTok Ads Raw Data'!$G:$G,A12,'TikTok Ads Raw Data'!$C:$C)</f>
        <v>39000</v>
      </c>
      <c r="D12" s="31">
        <f>SUMIF('TikTok Ads Raw Data'!$G:$G,A12,'TikTok Ads Raw Data'!$D:$D)</f>
        <v>34809</v>
      </c>
      <c r="E12" s="31">
        <f>SUMIF('TikTok Ads Raw Data'!$G:$G,A12,'TikTok Ads Raw Data'!$E:$E)</f>
        <v>690</v>
      </c>
      <c r="F12" s="33">
        <f>SUMIF('TikTok Ads Raw Data'!$G:$G,A12,'TikTok Ads Raw Data'!$F:$F)</f>
        <v>111719</v>
      </c>
    </row>
    <row r="13">
      <c r="A13" s="30">
        <v>12.0</v>
      </c>
      <c r="B13" s="31">
        <f>SUMIF('TikTok Ads Raw Data'!$G:$G,A13,'TikTok Ads Raw Data'!$B:$B)</f>
        <v>1990299</v>
      </c>
      <c r="C13" s="32">
        <f>SUMIF('TikTok Ads Raw Data'!$G:$G,A13,'TikTok Ads Raw Data'!$C:$C)</f>
        <v>44011</v>
      </c>
      <c r="D13" s="31">
        <f>SUMIF('TikTok Ads Raw Data'!$G:$G,A13,'TikTok Ads Raw Data'!$D:$D)</f>
        <v>56662</v>
      </c>
      <c r="E13" s="31">
        <f>SUMIF('TikTok Ads Raw Data'!$G:$G,A13,'TikTok Ads Raw Data'!$E:$E)</f>
        <v>1034</v>
      </c>
      <c r="F13" s="33">
        <f>SUMIF('TikTok Ads Raw Data'!$G:$G,A13,'TikTok Ads Raw Data'!$F:$F)</f>
        <v>132858</v>
      </c>
    </row>
    <row r="14">
      <c r="C14" s="34"/>
      <c r="F14" s="10"/>
    </row>
    <row r="15">
      <c r="C15" s="34"/>
      <c r="F15" s="10"/>
    </row>
    <row r="16">
      <c r="C16" s="34"/>
      <c r="F16" s="10"/>
    </row>
    <row r="17">
      <c r="C17" s="34"/>
      <c r="F17" s="10"/>
    </row>
    <row r="18">
      <c r="C18" s="34"/>
      <c r="F18" s="10"/>
    </row>
    <row r="19">
      <c r="C19" s="34"/>
      <c r="F19" s="10"/>
    </row>
    <row r="20">
      <c r="C20" s="34"/>
      <c r="F20" s="10"/>
    </row>
    <row r="21">
      <c r="C21" s="34"/>
      <c r="F21" s="10"/>
    </row>
    <row r="22">
      <c r="C22" s="34"/>
      <c r="F22" s="10"/>
    </row>
    <row r="23">
      <c r="C23" s="34"/>
      <c r="F23" s="10"/>
    </row>
    <row r="24">
      <c r="C24" s="34"/>
      <c r="F24" s="10"/>
    </row>
    <row r="25">
      <c r="C25" s="34"/>
      <c r="F25" s="10"/>
    </row>
    <row r="26">
      <c r="C26" s="34"/>
      <c r="F26" s="10"/>
    </row>
    <row r="27">
      <c r="C27" s="34"/>
      <c r="F27" s="10"/>
    </row>
    <row r="28">
      <c r="C28" s="34"/>
      <c r="F28" s="10"/>
    </row>
    <row r="29">
      <c r="C29" s="34"/>
      <c r="F29" s="10"/>
    </row>
    <row r="30">
      <c r="C30" s="34"/>
      <c r="F30" s="10"/>
    </row>
    <row r="31">
      <c r="C31" s="34"/>
      <c r="F31" s="10"/>
    </row>
    <row r="32">
      <c r="C32" s="34"/>
      <c r="F32" s="10"/>
    </row>
    <row r="33">
      <c r="C33" s="34"/>
      <c r="F33" s="10"/>
    </row>
    <row r="34">
      <c r="C34" s="34"/>
      <c r="F34" s="10"/>
    </row>
    <row r="35">
      <c r="C35" s="34"/>
      <c r="F35" s="10"/>
    </row>
    <row r="36">
      <c r="C36" s="34"/>
      <c r="F36" s="10"/>
    </row>
    <row r="37">
      <c r="C37" s="34"/>
      <c r="F37" s="10"/>
    </row>
    <row r="38">
      <c r="C38" s="34"/>
      <c r="F38" s="10"/>
    </row>
    <row r="39">
      <c r="C39" s="34"/>
      <c r="F39" s="10"/>
    </row>
    <row r="40">
      <c r="C40" s="34"/>
      <c r="F40" s="10"/>
    </row>
    <row r="41">
      <c r="C41" s="34"/>
      <c r="F41" s="10"/>
    </row>
    <row r="42">
      <c r="C42" s="34"/>
      <c r="F42" s="10"/>
    </row>
    <row r="43">
      <c r="C43" s="34"/>
      <c r="F43" s="10"/>
    </row>
    <row r="44">
      <c r="C44" s="34"/>
      <c r="F44" s="10"/>
    </row>
    <row r="45">
      <c r="C45" s="34"/>
      <c r="F45" s="10"/>
    </row>
    <row r="46">
      <c r="C46" s="34"/>
      <c r="F46" s="10"/>
    </row>
    <row r="47">
      <c r="C47" s="34"/>
      <c r="F47" s="10"/>
    </row>
    <row r="48">
      <c r="C48" s="34"/>
      <c r="F48" s="10"/>
    </row>
    <row r="49">
      <c r="C49" s="34"/>
      <c r="F49" s="10"/>
    </row>
    <row r="50">
      <c r="C50" s="34"/>
      <c r="F50" s="10"/>
    </row>
    <row r="51">
      <c r="C51" s="34"/>
      <c r="F51" s="10"/>
    </row>
    <row r="52">
      <c r="C52" s="34"/>
      <c r="F52" s="10"/>
    </row>
    <row r="53">
      <c r="C53" s="34"/>
      <c r="F53" s="10"/>
    </row>
    <row r="54">
      <c r="C54" s="34"/>
      <c r="F54" s="10"/>
    </row>
    <row r="55">
      <c r="C55" s="34"/>
      <c r="F55" s="10"/>
    </row>
    <row r="56">
      <c r="C56" s="34"/>
      <c r="F56" s="10"/>
    </row>
    <row r="57">
      <c r="C57" s="34"/>
      <c r="F57" s="10"/>
    </row>
    <row r="58">
      <c r="C58" s="34"/>
      <c r="F58" s="10"/>
    </row>
    <row r="59">
      <c r="C59" s="34"/>
      <c r="F59" s="10"/>
    </row>
    <row r="60">
      <c r="C60" s="34"/>
      <c r="F60" s="10"/>
    </row>
    <row r="61">
      <c r="C61" s="34"/>
      <c r="F61" s="10"/>
    </row>
    <row r="62">
      <c r="C62" s="34"/>
      <c r="F62" s="10"/>
    </row>
    <row r="63">
      <c r="C63" s="34"/>
      <c r="F63" s="10"/>
    </row>
    <row r="64">
      <c r="C64" s="34"/>
      <c r="F64" s="10"/>
    </row>
    <row r="65">
      <c r="C65" s="34"/>
      <c r="F65" s="10"/>
    </row>
    <row r="66">
      <c r="C66" s="34"/>
      <c r="F66" s="10"/>
    </row>
    <row r="67">
      <c r="C67" s="34"/>
      <c r="F67" s="10"/>
    </row>
    <row r="68">
      <c r="C68" s="34"/>
      <c r="F68" s="10"/>
    </row>
    <row r="69">
      <c r="C69" s="34"/>
      <c r="F69" s="10"/>
    </row>
    <row r="70">
      <c r="C70" s="34"/>
      <c r="F70" s="10"/>
    </row>
    <row r="71">
      <c r="C71" s="34"/>
      <c r="F71" s="10"/>
    </row>
    <row r="72">
      <c r="C72" s="34"/>
      <c r="F72" s="10"/>
    </row>
    <row r="73">
      <c r="C73" s="34"/>
      <c r="F73" s="10"/>
    </row>
    <row r="74">
      <c r="C74" s="34"/>
      <c r="F74" s="10"/>
    </row>
    <row r="75">
      <c r="C75" s="34"/>
      <c r="F75" s="10"/>
    </row>
    <row r="76">
      <c r="C76" s="34"/>
      <c r="F76" s="10"/>
    </row>
    <row r="77">
      <c r="C77" s="34"/>
      <c r="F77" s="10"/>
    </row>
    <row r="78">
      <c r="C78" s="34"/>
      <c r="F78" s="10"/>
    </row>
    <row r="79">
      <c r="C79" s="34"/>
      <c r="F79" s="10"/>
    </row>
    <row r="80">
      <c r="C80" s="34"/>
      <c r="F80" s="10"/>
    </row>
    <row r="81">
      <c r="C81" s="34"/>
      <c r="F81" s="10"/>
    </row>
    <row r="82">
      <c r="C82" s="34"/>
      <c r="F82" s="10"/>
    </row>
    <row r="83">
      <c r="C83" s="34"/>
      <c r="F83" s="10"/>
    </row>
    <row r="84">
      <c r="C84" s="34"/>
      <c r="F84" s="10"/>
    </row>
    <row r="85">
      <c r="C85" s="34"/>
      <c r="F85" s="10"/>
    </row>
    <row r="86">
      <c r="C86" s="34"/>
      <c r="F86" s="10"/>
    </row>
    <row r="87">
      <c r="C87" s="34"/>
      <c r="F87" s="10"/>
    </row>
    <row r="88">
      <c r="C88" s="34"/>
      <c r="F88" s="10"/>
    </row>
    <row r="89">
      <c r="C89" s="34"/>
      <c r="F89" s="10"/>
    </row>
    <row r="90">
      <c r="C90" s="34"/>
      <c r="F90" s="10"/>
    </row>
    <row r="91">
      <c r="C91" s="34"/>
      <c r="F91" s="10"/>
    </row>
    <row r="92">
      <c r="C92" s="34"/>
      <c r="F92" s="10"/>
    </row>
    <row r="93">
      <c r="C93" s="34"/>
      <c r="F93" s="10"/>
    </row>
    <row r="94">
      <c r="C94" s="34"/>
      <c r="F94" s="10"/>
    </row>
    <row r="95">
      <c r="C95" s="34"/>
      <c r="F95" s="10"/>
    </row>
    <row r="96">
      <c r="C96" s="34"/>
      <c r="F96" s="10"/>
    </row>
    <row r="97">
      <c r="C97" s="34"/>
      <c r="F97" s="10"/>
    </row>
    <row r="98">
      <c r="C98" s="34"/>
      <c r="F98" s="10"/>
    </row>
    <row r="99">
      <c r="C99" s="34"/>
      <c r="F99" s="10"/>
    </row>
    <row r="100">
      <c r="C100" s="34"/>
      <c r="F100" s="10"/>
    </row>
    <row r="101">
      <c r="C101" s="34"/>
      <c r="F101" s="10"/>
    </row>
    <row r="102">
      <c r="C102" s="34"/>
      <c r="F102" s="10"/>
    </row>
    <row r="103">
      <c r="C103" s="34"/>
      <c r="F103" s="10"/>
    </row>
    <row r="104">
      <c r="C104" s="34"/>
      <c r="F104" s="10"/>
    </row>
    <row r="105">
      <c r="C105" s="34"/>
      <c r="F105" s="10"/>
    </row>
    <row r="106">
      <c r="C106" s="34"/>
      <c r="F106" s="10"/>
    </row>
    <row r="107">
      <c r="C107" s="34"/>
      <c r="F107" s="10"/>
    </row>
    <row r="108">
      <c r="C108" s="34"/>
      <c r="F108" s="10"/>
    </row>
    <row r="109">
      <c r="C109" s="34"/>
      <c r="F109" s="10"/>
    </row>
    <row r="110">
      <c r="C110" s="34"/>
      <c r="F110" s="10"/>
    </row>
    <row r="111">
      <c r="C111" s="34"/>
      <c r="F111" s="10"/>
    </row>
    <row r="112">
      <c r="C112" s="34"/>
      <c r="F112" s="10"/>
    </row>
    <row r="113">
      <c r="C113" s="34"/>
      <c r="F113" s="10"/>
    </row>
    <row r="114">
      <c r="C114" s="34"/>
      <c r="F114" s="10"/>
    </row>
    <row r="115">
      <c r="C115" s="34"/>
      <c r="F115" s="10"/>
    </row>
    <row r="116">
      <c r="C116" s="34"/>
      <c r="F116" s="10"/>
    </row>
    <row r="117">
      <c r="C117" s="34"/>
      <c r="F117" s="10"/>
    </row>
    <row r="118">
      <c r="C118" s="34"/>
      <c r="F118" s="10"/>
    </row>
    <row r="119">
      <c r="C119" s="34"/>
      <c r="F119" s="10"/>
    </row>
    <row r="120">
      <c r="C120" s="34"/>
      <c r="F120" s="10"/>
    </row>
    <row r="121">
      <c r="C121" s="34"/>
      <c r="F121" s="10"/>
    </row>
    <row r="122">
      <c r="C122" s="34"/>
      <c r="F122" s="10"/>
    </row>
    <row r="123">
      <c r="C123" s="34"/>
      <c r="F123" s="10"/>
    </row>
    <row r="124">
      <c r="C124" s="34"/>
      <c r="F124" s="10"/>
    </row>
    <row r="125">
      <c r="C125" s="34"/>
      <c r="F125" s="10"/>
    </row>
    <row r="126">
      <c r="C126" s="34"/>
      <c r="F126" s="10"/>
    </row>
    <row r="127">
      <c r="C127" s="34"/>
      <c r="F127" s="10"/>
    </row>
    <row r="128">
      <c r="C128" s="34"/>
      <c r="F128" s="10"/>
    </row>
    <row r="129">
      <c r="C129" s="34"/>
      <c r="F129" s="10"/>
    </row>
    <row r="130">
      <c r="C130" s="34"/>
      <c r="F130" s="10"/>
    </row>
    <row r="131">
      <c r="C131" s="34"/>
      <c r="F131" s="10"/>
    </row>
    <row r="132">
      <c r="C132" s="34"/>
      <c r="F132" s="10"/>
    </row>
    <row r="133">
      <c r="C133" s="34"/>
      <c r="F133" s="10"/>
    </row>
    <row r="134">
      <c r="C134" s="34"/>
      <c r="F134" s="10"/>
    </row>
    <row r="135">
      <c r="C135" s="34"/>
      <c r="F135" s="10"/>
    </row>
    <row r="136">
      <c r="C136" s="34"/>
      <c r="F136" s="10"/>
    </row>
    <row r="137">
      <c r="C137" s="34"/>
      <c r="F137" s="10"/>
    </row>
    <row r="138">
      <c r="C138" s="34"/>
      <c r="F138" s="10"/>
    </row>
    <row r="139">
      <c r="C139" s="34"/>
      <c r="F139" s="10"/>
    </row>
    <row r="140">
      <c r="C140" s="34"/>
      <c r="F140" s="10"/>
    </row>
    <row r="141">
      <c r="C141" s="34"/>
      <c r="F141" s="10"/>
    </row>
    <row r="142">
      <c r="C142" s="34"/>
      <c r="F142" s="10"/>
    </row>
    <row r="143">
      <c r="C143" s="34"/>
      <c r="F143" s="10"/>
    </row>
    <row r="144">
      <c r="C144" s="34"/>
      <c r="F144" s="10"/>
    </row>
    <row r="145">
      <c r="C145" s="34"/>
      <c r="F145" s="10"/>
    </row>
    <row r="146">
      <c r="C146" s="34"/>
      <c r="F146" s="10"/>
    </row>
    <row r="147">
      <c r="C147" s="34"/>
      <c r="F147" s="10"/>
    </row>
    <row r="148">
      <c r="C148" s="34"/>
      <c r="F148" s="10"/>
    </row>
    <row r="149">
      <c r="C149" s="34"/>
      <c r="F149" s="10"/>
    </row>
    <row r="150">
      <c r="C150" s="34"/>
      <c r="F150" s="10"/>
    </row>
    <row r="151">
      <c r="C151" s="34"/>
      <c r="F151" s="10"/>
    </row>
    <row r="152">
      <c r="C152" s="34"/>
      <c r="F152" s="10"/>
    </row>
    <row r="153">
      <c r="C153" s="34"/>
      <c r="F153" s="10"/>
    </row>
    <row r="154">
      <c r="C154" s="34"/>
      <c r="F154" s="10"/>
    </row>
    <row r="155">
      <c r="C155" s="34"/>
      <c r="F155" s="10"/>
    </row>
    <row r="156">
      <c r="C156" s="34"/>
      <c r="F156" s="10"/>
    </row>
    <row r="157">
      <c r="C157" s="34"/>
      <c r="F157" s="10"/>
    </row>
    <row r="158">
      <c r="C158" s="34"/>
      <c r="F158" s="10"/>
    </row>
    <row r="159">
      <c r="C159" s="34"/>
      <c r="F159" s="10"/>
    </row>
    <row r="160">
      <c r="C160" s="34"/>
      <c r="F160" s="10"/>
    </row>
    <row r="161">
      <c r="C161" s="34"/>
      <c r="F161" s="10"/>
    </row>
    <row r="162">
      <c r="C162" s="34"/>
      <c r="F162" s="10"/>
    </row>
    <row r="163">
      <c r="C163" s="34"/>
      <c r="F163" s="10"/>
    </row>
    <row r="164">
      <c r="C164" s="34"/>
      <c r="F164" s="10"/>
    </row>
    <row r="165">
      <c r="C165" s="34"/>
      <c r="F165" s="10"/>
    </row>
    <row r="166">
      <c r="C166" s="34"/>
      <c r="F166" s="10"/>
    </row>
    <row r="167">
      <c r="C167" s="34"/>
      <c r="F167" s="10"/>
    </row>
    <row r="168">
      <c r="C168" s="34"/>
      <c r="F168" s="10"/>
    </row>
    <row r="169">
      <c r="C169" s="34"/>
      <c r="F169" s="10"/>
    </row>
    <row r="170">
      <c r="C170" s="34"/>
      <c r="F170" s="10"/>
    </row>
    <row r="171">
      <c r="C171" s="34"/>
      <c r="F171" s="10"/>
    </row>
    <row r="172">
      <c r="C172" s="34"/>
      <c r="F172" s="10"/>
    </row>
    <row r="173">
      <c r="C173" s="34"/>
      <c r="F173" s="10"/>
    </row>
    <row r="174">
      <c r="C174" s="34"/>
      <c r="F174" s="10"/>
    </row>
    <row r="175">
      <c r="C175" s="34"/>
      <c r="F175" s="10"/>
    </row>
    <row r="176">
      <c r="C176" s="34"/>
      <c r="F176" s="10"/>
    </row>
    <row r="177">
      <c r="C177" s="34"/>
      <c r="F177" s="10"/>
    </row>
    <row r="178">
      <c r="C178" s="34"/>
      <c r="F178" s="10"/>
    </row>
    <row r="179">
      <c r="C179" s="34"/>
      <c r="F179" s="10"/>
    </row>
    <row r="180">
      <c r="C180" s="34"/>
      <c r="F180" s="10"/>
    </row>
    <row r="181">
      <c r="C181" s="34"/>
      <c r="F181" s="10"/>
    </row>
    <row r="182">
      <c r="C182" s="34"/>
      <c r="F182" s="10"/>
    </row>
    <row r="183">
      <c r="C183" s="34"/>
      <c r="F183" s="10"/>
    </row>
    <row r="184">
      <c r="C184" s="34"/>
      <c r="F184" s="10"/>
    </row>
    <row r="185">
      <c r="C185" s="34"/>
      <c r="F185" s="10"/>
    </row>
    <row r="186">
      <c r="C186" s="34"/>
      <c r="F186" s="10"/>
    </row>
    <row r="187">
      <c r="C187" s="34"/>
      <c r="F187" s="10"/>
    </row>
    <row r="188">
      <c r="C188" s="34"/>
      <c r="F188" s="10"/>
    </row>
    <row r="189">
      <c r="C189" s="34"/>
      <c r="F189" s="10"/>
    </row>
    <row r="190">
      <c r="C190" s="34"/>
      <c r="F190" s="10"/>
    </row>
    <row r="191">
      <c r="C191" s="34"/>
      <c r="F191" s="10"/>
    </row>
    <row r="192">
      <c r="C192" s="34"/>
      <c r="F192" s="10"/>
    </row>
    <row r="193">
      <c r="C193" s="34"/>
      <c r="F193" s="10"/>
    </row>
    <row r="194">
      <c r="C194" s="34"/>
      <c r="F194" s="10"/>
    </row>
    <row r="195">
      <c r="C195" s="34"/>
      <c r="F195" s="10"/>
    </row>
    <row r="196">
      <c r="C196" s="34"/>
      <c r="F196" s="10"/>
    </row>
    <row r="197">
      <c r="C197" s="34"/>
      <c r="F197" s="10"/>
    </row>
    <row r="198">
      <c r="C198" s="34"/>
      <c r="F198" s="10"/>
    </row>
    <row r="199">
      <c r="C199" s="34"/>
      <c r="F199" s="10"/>
    </row>
    <row r="200">
      <c r="C200" s="34"/>
      <c r="F200" s="10"/>
    </row>
    <row r="201">
      <c r="C201" s="34"/>
      <c r="F201" s="10"/>
    </row>
    <row r="202">
      <c r="C202" s="34"/>
      <c r="F202" s="10"/>
    </row>
    <row r="203">
      <c r="C203" s="34"/>
      <c r="F203" s="10"/>
    </row>
    <row r="204">
      <c r="C204" s="34"/>
      <c r="F204" s="10"/>
    </row>
    <row r="205">
      <c r="C205" s="34"/>
      <c r="F205" s="10"/>
    </row>
    <row r="206">
      <c r="C206" s="34"/>
      <c r="F206" s="10"/>
    </row>
    <row r="207">
      <c r="C207" s="34"/>
      <c r="F207" s="10"/>
    </row>
    <row r="208">
      <c r="C208" s="34"/>
      <c r="F208" s="10"/>
    </row>
    <row r="209">
      <c r="C209" s="34"/>
      <c r="F209" s="10"/>
    </row>
    <row r="210">
      <c r="C210" s="34"/>
      <c r="F210" s="10"/>
    </row>
    <row r="211">
      <c r="C211" s="34"/>
      <c r="F211" s="10"/>
    </row>
    <row r="212">
      <c r="C212" s="34"/>
      <c r="F212" s="10"/>
    </row>
    <row r="213">
      <c r="C213" s="34"/>
      <c r="F213" s="10"/>
    </row>
    <row r="214">
      <c r="C214" s="34"/>
      <c r="F214" s="10"/>
    </row>
    <row r="215">
      <c r="C215" s="34"/>
      <c r="F215" s="10"/>
    </row>
    <row r="216">
      <c r="C216" s="34"/>
      <c r="F216" s="10"/>
    </row>
    <row r="217">
      <c r="C217" s="34"/>
      <c r="F217" s="10"/>
    </row>
    <row r="218">
      <c r="C218" s="34"/>
      <c r="F218" s="10"/>
    </row>
    <row r="219">
      <c r="C219" s="34"/>
      <c r="F219" s="10"/>
    </row>
    <row r="220">
      <c r="C220" s="34"/>
      <c r="F220" s="10"/>
    </row>
    <row r="221">
      <c r="C221" s="34"/>
      <c r="F221" s="10"/>
    </row>
    <row r="222">
      <c r="C222" s="34"/>
      <c r="F222" s="10"/>
    </row>
    <row r="223">
      <c r="C223" s="34"/>
      <c r="F223" s="10"/>
    </row>
    <row r="224">
      <c r="C224" s="34"/>
      <c r="F224" s="10"/>
    </row>
    <row r="225">
      <c r="C225" s="34"/>
      <c r="F225" s="10"/>
    </row>
    <row r="226">
      <c r="C226" s="34"/>
      <c r="F226" s="10"/>
    </row>
    <row r="227">
      <c r="C227" s="34"/>
      <c r="F227" s="10"/>
    </row>
    <row r="228">
      <c r="C228" s="34"/>
      <c r="F228" s="10"/>
    </row>
    <row r="229">
      <c r="C229" s="34"/>
      <c r="F229" s="10"/>
    </row>
    <row r="230">
      <c r="C230" s="34"/>
      <c r="F230" s="10"/>
    </row>
    <row r="231">
      <c r="C231" s="34"/>
      <c r="F231" s="10"/>
    </row>
    <row r="232">
      <c r="C232" s="34"/>
      <c r="F232" s="10"/>
    </row>
    <row r="233">
      <c r="C233" s="34"/>
      <c r="F233" s="10"/>
    </row>
    <row r="234">
      <c r="C234" s="34"/>
      <c r="F234" s="10"/>
    </row>
    <row r="235">
      <c r="C235" s="34"/>
      <c r="F235" s="10"/>
    </row>
    <row r="236">
      <c r="C236" s="34"/>
      <c r="F236" s="10"/>
    </row>
    <row r="237">
      <c r="C237" s="34"/>
      <c r="F237" s="10"/>
    </row>
    <row r="238">
      <c r="C238" s="34"/>
      <c r="F238" s="10"/>
    </row>
    <row r="239">
      <c r="C239" s="34"/>
      <c r="F239" s="10"/>
    </row>
    <row r="240">
      <c r="C240" s="34"/>
      <c r="F240" s="10"/>
    </row>
    <row r="241">
      <c r="C241" s="34"/>
      <c r="F241" s="10"/>
    </row>
    <row r="242">
      <c r="C242" s="34"/>
      <c r="F242" s="10"/>
    </row>
    <row r="243">
      <c r="C243" s="34"/>
      <c r="F243" s="10"/>
    </row>
    <row r="244">
      <c r="C244" s="34"/>
      <c r="F244" s="10"/>
    </row>
    <row r="245">
      <c r="C245" s="34"/>
      <c r="F245" s="10"/>
    </row>
    <row r="246">
      <c r="C246" s="34"/>
      <c r="F246" s="10"/>
    </row>
    <row r="247">
      <c r="C247" s="34"/>
      <c r="F247" s="10"/>
    </row>
    <row r="248">
      <c r="C248" s="34"/>
      <c r="F248" s="10"/>
    </row>
    <row r="249">
      <c r="C249" s="34"/>
      <c r="F249" s="10"/>
    </row>
    <row r="250">
      <c r="C250" s="34"/>
      <c r="F250" s="10"/>
    </row>
    <row r="251">
      <c r="C251" s="34"/>
      <c r="F251" s="10"/>
    </row>
    <row r="252">
      <c r="C252" s="34"/>
      <c r="F252" s="10"/>
    </row>
    <row r="253">
      <c r="C253" s="34"/>
      <c r="F253" s="10"/>
    </row>
    <row r="254">
      <c r="C254" s="34"/>
      <c r="F254" s="10"/>
    </row>
    <row r="255">
      <c r="C255" s="34"/>
      <c r="F255" s="10"/>
    </row>
    <row r="256">
      <c r="C256" s="34"/>
      <c r="F256" s="10"/>
    </row>
    <row r="257">
      <c r="C257" s="34"/>
      <c r="F257" s="10"/>
    </row>
    <row r="258">
      <c r="C258" s="34"/>
      <c r="F258" s="10"/>
    </row>
    <row r="259">
      <c r="C259" s="34"/>
      <c r="F259" s="10"/>
    </row>
    <row r="260">
      <c r="C260" s="34"/>
      <c r="F260" s="10"/>
    </row>
    <row r="261">
      <c r="C261" s="34"/>
      <c r="F261" s="10"/>
    </row>
    <row r="262">
      <c r="C262" s="34"/>
      <c r="F262" s="10"/>
    </row>
    <row r="263">
      <c r="C263" s="34"/>
      <c r="F263" s="10"/>
    </row>
    <row r="264">
      <c r="C264" s="34"/>
      <c r="F264" s="10"/>
    </row>
    <row r="265">
      <c r="C265" s="34"/>
      <c r="F265" s="10"/>
    </row>
    <row r="266">
      <c r="C266" s="34"/>
      <c r="F266" s="10"/>
    </row>
    <row r="267">
      <c r="C267" s="34"/>
      <c r="F267" s="10"/>
    </row>
    <row r="268">
      <c r="C268" s="34"/>
      <c r="F268" s="10"/>
    </row>
    <row r="269">
      <c r="C269" s="34"/>
      <c r="F269" s="10"/>
    </row>
    <row r="270">
      <c r="C270" s="34"/>
      <c r="F270" s="10"/>
    </row>
    <row r="271">
      <c r="C271" s="34"/>
      <c r="F271" s="10"/>
    </row>
    <row r="272">
      <c r="C272" s="34"/>
      <c r="F272" s="10"/>
    </row>
    <row r="273">
      <c r="C273" s="34"/>
      <c r="F273" s="10"/>
    </row>
    <row r="274">
      <c r="C274" s="34"/>
      <c r="F274" s="10"/>
    </row>
    <row r="275">
      <c r="C275" s="34"/>
      <c r="F275" s="10"/>
    </row>
    <row r="276">
      <c r="C276" s="34"/>
      <c r="F276" s="10"/>
    </row>
    <row r="277">
      <c r="C277" s="34"/>
      <c r="F277" s="10"/>
    </row>
    <row r="278">
      <c r="C278" s="34"/>
      <c r="F278" s="10"/>
    </row>
    <row r="279">
      <c r="C279" s="34"/>
      <c r="F279" s="10"/>
    </row>
    <row r="280">
      <c r="C280" s="34"/>
      <c r="F280" s="10"/>
    </row>
    <row r="281">
      <c r="C281" s="34"/>
      <c r="F281" s="10"/>
    </row>
    <row r="282">
      <c r="C282" s="34"/>
      <c r="F282" s="10"/>
    </row>
    <row r="283">
      <c r="C283" s="34"/>
      <c r="F283" s="10"/>
    </row>
    <row r="284">
      <c r="C284" s="34"/>
      <c r="F284" s="10"/>
    </row>
    <row r="285">
      <c r="C285" s="34"/>
      <c r="F285" s="10"/>
    </row>
    <row r="286">
      <c r="C286" s="34"/>
      <c r="F286" s="10"/>
    </row>
    <row r="287">
      <c r="C287" s="34"/>
      <c r="F287" s="10"/>
    </row>
    <row r="288">
      <c r="C288" s="34"/>
      <c r="F288" s="10"/>
    </row>
    <row r="289">
      <c r="C289" s="34"/>
      <c r="F289" s="10"/>
    </row>
    <row r="290">
      <c r="C290" s="34"/>
      <c r="F290" s="10"/>
    </row>
    <row r="291">
      <c r="C291" s="34"/>
      <c r="F291" s="10"/>
    </row>
    <row r="292">
      <c r="C292" s="34"/>
      <c r="F292" s="10"/>
    </row>
    <row r="293">
      <c r="C293" s="34"/>
      <c r="F293" s="10"/>
    </row>
    <row r="294">
      <c r="C294" s="34"/>
      <c r="F294" s="10"/>
    </row>
    <row r="295">
      <c r="C295" s="34"/>
      <c r="F295" s="10"/>
    </row>
    <row r="296">
      <c r="C296" s="34"/>
      <c r="F296" s="10"/>
    </row>
    <row r="297">
      <c r="C297" s="34"/>
      <c r="F297" s="10"/>
    </row>
    <row r="298">
      <c r="C298" s="34"/>
      <c r="F298" s="10"/>
    </row>
    <row r="299">
      <c r="C299" s="34"/>
      <c r="F299" s="10"/>
    </row>
    <row r="300">
      <c r="C300" s="34"/>
      <c r="F300" s="10"/>
    </row>
    <row r="301">
      <c r="C301" s="34"/>
      <c r="F301" s="10"/>
    </row>
    <row r="302">
      <c r="C302" s="34"/>
      <c r="F302" s="10"/>
    </row>
    <row r="303">
      <c r="C303" s="34"/>
      <c r="F303" s="10"/>
    </row>
    <row r="304">
      <c r="C304" s="34"/>
      <c r="F304" s="10"/>
    </row>
    <row r="305">
      <c r="C305" s="34"/>
      <c r="F305" s="10"/>
    </row>
    <row r="306">
      <c r="C306" s="34"/>
      <c r="F306" s="10"/>
    </row>
    <row r="307">
      <c r="C307" s="34"/>
      <c r="F307" s="10"/>
    </row>
    <row r="308">
      <c r="C308" s="34"/>
      <c r="F308" s="10"/>
    </row>
    <row r="309">
      <c r="C309" s="34"/>
      <c r="F309" s="10"/>
    </row>
    <row r="310">
      <c r="C310" s="34"/>
      <c r="F310" s="10"/>
    </row>
    <row r="311">
      <c r="C311" s="34"/>
      <c r="F311" s="10"/>
    </row>
    <row r="312">
      <c r="C312" s="34"/>
      <c r="F312" s="10"/>
    </row>
    <row r="313">
      <c r="C313" s="34"/>
      <c r="F313" s="10"/>
    </row>
    <row r="314">
      <c r="C314" s="34"/>
      <c r="F314" s="10"/>
    </row>
    <row r="315">
      <c r="C315" s="34"/>
      <c r="F315" s="10"/>
    </row>
    <row r="316">
      <c r="C316" s="34"/>
      <c r="F316" s="10"/>
    </row>
    <row r="317">
      <c r="C317" s="34"/>
      <c r="F317" s="10"/>
    </row>
    <row r="318">
      <c r="C318" s="34"/>
      <c r="F318" s="10"/>
    </row>
    <row r="319">
      <c r="C319" s="34"/>
      <c r="F319" s="10"/>
    </row>
    <row r="320">
      <c r="C320" s="34"/>
      <c r="F320" s="10"/>
    </row>
    <row r="321">
      <c r="C321" s="34"/>
      <c r="F321" s="10"/>
    </row>
    <row r="322">
      <c r="C322" s="34"/>
      <c r="F322" s="10"/>
    </row>
    <row r="323">
      <c r="C323" s="34"/>
      <c r="F323" s="10"/>
    </row>
    <row r="324">
      <c r="C324" s="34"/>
      <c r="F324" s="10"/>
    </row>
    <row r="325">
      <c r="C325" s="34"/>
      <c r="F325" s="10"/>
    </row>
    <row r="326">
      <c r="C326" s="34"/>
      <c r="F326" s="10"/>
    </row>
    <row r="327">
      <c r="C327" s="34"/>
      <c r="F327" s="10"/>
    </row>
    <row r="328">
      <c r="C328" s="34"/>
      <c r="F328" s="10"/>
    </row>
    <row r="329">
      <c r="C329" s="34"/>
      <c r="F329" s="10"/>
    </row>
    <row r="330">
      <c r="C330" s="34"/>
      <c r="F330" s="10"/>
    </row>
    <row r="331">
      <c r="C331" s="34"/>
      <c r="F331" s="10"/>
    </row>
    <row r="332">
      <c r="C332" s="34"/>
      <c r="F332" s="10"/>
    </row>
    <row r="333">
      <c r="C333" s="34"/>
      <c r="F333" s="10"/>
    </row>
    <row r="334">
      <c r="C334" s="34"/>
      <c r="F334" s="10"/>
    </row>
    <row r="335">
      <c r="C335" s="34"/>
      <c r="F335" s="10"/>
    </row>
    <row r="336">
      <c r="C336" s="34"/>
      <c r="F336" s="10"/>
    </row>
    <row r="337">
      <c r="C337" s="34"/>
      <c r="F337" s="10"/>
    </row>
    <row r="338">
      <c r="C338" s="34"/>
      <c r="F338" s="10"/>
    </row>
    <row r="339">
      <c r="C339" s="34"/>
      <c r="F339" s="10"/>
    </row>
    <row r="340">
      <c r="C340" s="34"/>
      <c r="F340" s="10"/>
    </row>
    <row r="341">
      <c r="C341" s="34"/>
      <c r="F341" s="10"/>
    </row>
    <row r="342">
      <c r="C342" s="34"/>
      <c r="F342" s="10"/>
    </row>
    <row r="343">
      <c r="C343" s="34"/>
      <c r="F343" s="10"/>
    </row>
    <row r="344">
      <c r="C344" s="34"/>
      <c r="F344" s="10"/>
    </row>
    <row r="345">
      <c r="C345" s="34"/>
      <c r="F345" s="10"/>
    </row>
    <row r="346">
      <c r="C346" s="34"/>
      <c r="F346" s="10"/>
    </row>
    <row r="347">
      <c r="C347" s="34"/>
      <c r="F347" s="10"/>
    </row>
    <row r="348">
      <c r="C348" s="34"/>
      <c r="F348" s="10"/>
    </row>
    <row r="349">
      <c r="C349" s="34"/>
      <c r="F349" s="10"/>
    </row>
    <row r="350">
      <c r="C350" s="34"/>
      <c r="F350" s="10"/>
    </row>
    <row r="351">
      <c r="C351" s="34"/>
      <c r="F351" s="10"/>
    </row>
    <row r="352">
      <c r="C352" s="34"/>
      <c r="F352" s="10"/>
    </row>
    <row r="353">
      <c r="C353" s="34"/>
      <c r="F353" s="10"/>
    </row>
    <row r="354">
      <c r="C354" s="34"/>
      <c r="F354" s="10"/>
    </row>
    <row r="355">
      <c r="C355" s="34"/>
      <c r="F355" s="10"/>
    </row>
    <row r="356">
      <c r="C356" s="34"/>
      <c r="F356" s="10"/>
    </row>
    <row r="357">
      <c r="C357" s="34"/>
      <c r="F357" s="10"/>
    </row>
    <row r="358">
      <c r="C358" s="34"/>
      <c r="F358" s="10"/>
    </row>
    <row r="359">
      <c r="C359" s="34"/>
      <c r="F359" s="10"/>
    </row>
    <row r="360">
      <c r="C360" s="34"/>
      <c r="F360" s="10"/>
    </row>
    <row r="361">
      <c r="C361" s="34"/>
      <c r="F361" s="10"/>
    </row>
    <row r="362">
      <c r="C362" s="34"/>
      <c r="F362" s="10"/>
    </row>
    <row r="363">
      <c r="C363" s="34"/>
      <c r="F363" s="10"/>
    </row>
    <row r="364">
      <c r="C364" s="34"/>
      <c r="F364" s="10"/>
    </row>
    <row r="365">
      <c r="C365" s="34"/>
      <c r="F365" s="10"/>
    </row>
    <row r="366">
      <c r="C366" s="34"/>
      <c r="F366" s="10"/>
    </row>
    <row r="367">
      <c r="C367" s="34"/>
      <c r="F367" s="10"/>
    </row>
    <row r="368">
      <c r="C368" s="34"/>
      <c r="F368" s="10"/>
    </row>
    <row r="369">
      <c r="C369" s="34"/>
      <c r="F369" s="10"/>
    </row>
    <row r="370">
      <c r="C370" s="34"/>
      <c r="F370" s="10"/>
    </row>
    <row r="371">
      <c r="C371" s="34"/>
      <c r="F371" s="10"/>
    </row>
    <row r="372">
      <c r="C372" s="34"/>
      <c r="F372" s="10"/>
    </row>
    <row r="373">
      <c r="C373" s="34"/>
      <c r="F373" s="10"/>
    </row>
    <row r="374">
      <c r="C374" s="34"/>
      <c r="F374" s="10"/>
    </row>
    <row r="375">
      <c r="C375" s="34"/>
      <c r="F375" s="10"/>
    </row>
    <row r="376">
      <c r="C376" s="34"/>
      <c r="F376" s="10"/>
    </row>
    <row r="377">
      <c r="C377" s="34"/>
      <c r="F377" s="10"/>
    </row>
    <row r="378">
      <c r="C378" s="34"/>
      <c r="F378" s="10"/>
    </row>
    <row r="379">
      <c r="C379" s="34"/>
      <c r="F379" s="10"/>
    </row>
    <row r="380">
      <c r="C380" s="34"/>
      <c r="F380" s="10"/>
    </row>
    <row r="381">
      <c r="C381" s="34"/>
      <c r="F381" s="10"/>
    </row>
    <row r="382">
      <c r="C382" s="34"/>
      <c r="F382" s="10"/>
    </row>
    <row r="383">
      <c r="C383" s="34"/>
      <c r="F383" s="10"/>
    </row>
    <row r="384">
      <c r="C384" s="34"/>
      <c r="F384" s="10"/>
    </row>
    <row r="385">
      <c r="C385" s="34"/>
      <c r="F385" s="10"/>
    </row>
    <row r="386">
      <c r="C386" s="34"/>
      <c r="F386" s="10"/>
    </row>
    <row r="387">
      <c r="C387" s="34"/>
      <c r="F387" s="10"/>
    </row>
    <row r="388">
      <c r="C388" s="34"/>
      <c r="F388" s="10"/>
    </row>
    <row r="389">
      <c r="C389" s="34"/>
      <c r="F389" s="10"/>
    </row>
    <row r="390">
      <c r="C390" s="34"/>
      <c r="F390" s="10"/>
    </row>
    <row r="391">
      <c r="C391" s="34"/>
      <c r="F391" s="10"/>
    </row>
    <row r="392">
      <c r="C392" s="34"/>
      <c r="F392" s="10"/>
    </row>
    <row r="393">
      <c r="C393" s="34"/>
      <c r="F393" s="10"/>
    </row>
    <row r="394">
      <c r="C394" s="34"/>
      <c r="F394" s="10"/>
    </row>
    <row r="395">
      <c r="C395" s="34"/>
      <c r="F395" s="10"/>
    </row>
    <row r="396">
      <c r="C396" s="34"/>
      <c r="F396" s="10"/>
    </row>
    <row r="397">
      <c r="C397" s="34"/>
      <c r="F397" s="10"/>
    </row>
    <row r="398">
      <c r="C398" s="34"/>
      <c r="F398" s="10"/>
    </row>
    <row r="399">
      <c r="C399" s="34"/>
      <c r="F399" s="10"/>
    </row>
    <row r="400">
      <c r="C400" s="34"/>
      <c r="F400" s="10"/>
    </row>
    <row r="401">
      <c r="C401" s="34"/>
      <c r="F401" s="10"/>
    </row>
    <row r="402">
      <c r="C402" s="34"/>
      <c r="F402" s="10"/>
    </row>
    <row r="403">
      <c r="C403" s="34"/>
      <c r="F403" s="10"/>
    </row>
    <row r="404">
      <c r="C404" s="34"/>
      <c r="F404" s="10"/>
    </row>
    <row r="405">
      <c r="C405" s="34"/>
      <c r="F405" s="10"/>
    </row>
    <row r="406">
      <c r="C406" s="34"/>
      <c r="F406" s="10"/>
    </row>
    <row r="407">
      <c r="C407" s="34"/>
      <c r="F407" s="10"/>
    </row>
    <row r="408">
      <c r="C408" s="34"/>
      <c r="F408" s="10"/>
    </row>
    <row r="409">
      <c r="C409" s="34"/>
      <c r="F409" s="10"/>
    </row>
    <row r="410">
      <c r="C410" s="34"/>
      <c r="F410" s="10"/>
    </row>
    <row r="411">
      <c r="C411" s="34"/>
      <c r="F411" s="10"/>
    </row>
    <row r="412">
      <c r="C412" s="34"/>
      <c r="F412" s="10"/>
    </row>
    <row r="413">
      <c r="C413" s="34"/>
      <c r="F413" s="10"/>
    </row>
    <row r="414">
      <c r="C414" s="34"/>
      <c r="F414" s="10"/>
    </row>
    <row r="415">
      <c r="C415" s="34"/>
      <c r="F415" s="10"/>
    </row>
    <row r="416">
      <c r="C416" s="34"/>
      <c r="F416" s="10"/>
    </row>
    <row r="417">
      <c r="C417" s="34"/>
      <c r="F417" s="10"/>
    </row>
    <row r="418">
      <c r="C418" s="34"/>
      <c r="F418" s="10"/>
    </row>
    <row r="419">
      <c r="C419" s="34"/>
      <c r="F419" s="10"/>
    </row>
    <row r="420">
      <c r="C420" s="34"/>
      <c r="F420" s="10"/>
    </row>
    <row r="421">
      <c r="C421" s="34"/>
      <c r="F421" s="10"/>
    </row>
    <row r="422">
      <c r="C422" s="34"/>
      <c r="F422" s="10"/>
    </row>
    <row r="423">
      <c r="C423" s="34"/>
      <c r="F423" s="10"/>
    </row>
    <row r="424">
      <c r="C424" s="34"/>
      <c r="F424" s="10"/>
    </row>
    <row r="425">
      <c r="C425" s="34"/>
      <c r="F425" s="10"/>
    </row>
    <row r="426">
      <c r="C426" s="34"/>
      <c r="F426" s="10"/>
    </row>
    <row r="427">
      <c r="C427" s="34"/>
      <c r="F427" s="10"/>
    </row>
    <row r="428">
      <c r="C428" s="34"/>
      <c r="F428" s="10"/>
    </row>
    <row r="429">
      <c r="C429" s="34"/>
      <c r="F429" s="10"/>
    </row>
    <row r="430">
      <c r="C430" s="34"/>
      <c r="F430" s="10"/>
    </row>
    <row r="431">
      <c r="C431" s="34"/>
      <c r="F431" s="10"/>
    </row>
    <row r="432">
      <c r="C432" s="34"/>
      <c r="F432" s="10"/>
    </row>
    <row r="433">
      <c r="C433" s="34"/>
      <c r="F433" s="10"/>
    </row>
    <row r="434">
      <c r="C434" s="34"/>
      <c r="F434" s="10"/>
    </row>
    <row r="435">
      <c r="C435" s="34"/>
      <c r="F435" s="10"/>
    </row>
    <row r="436">
      <c r="C436" s="34"/>
      <c r="F436" s="10"/>
    </row>
    <row r="437">
      <c r="C437" s="34"/>
      <c r="F437" s="10"/>
    </row>
    <row r="438">
      <c r="C438" s="34"/>
      <c r="F438" s="10"/>
    </row>
    <row r="439">
      <c r="C439" s="34"/>
      <c r="F439" s="10"/>
    </row>
    <row r="440">
      <c r="C440" s="34"/>
      <c r="F440" s="10"/>
    </row>
    <row r="441">
      <c r="C441" s="34"/>
      <c r="F441" s="10"/>
    </row>
    <row r="442">
      <c r="C442" s="34"/>
      <c r="F442" s="10"/>
    </row>
    <row r="443">
      <c r="C443" s="34"/>
      <c r="F443" s="10"/>
    </row>
    <row r="444">
      <c r="C444" s="34"/>
      <c r="F444" s="10"/>
    </row>
    <row r="445">
      <c r="C445" s="34"/>
      <c r="F445" s="10"/>
    </row>
    <row r="446">
      <c r="C446" s="34"/>
      <c r="F446" s="10"/>
    </row>
    <row r="447">
      <c r="C447" s="34"/>
      <c r="F447" s="10"/>
    </row>
    <row r="448">
      <c r="C448" s="34"/>
      <c r="F448" s="10"/>
    </row>
    <row r="449">
      <c r="C449" s="34"/>
      <c r="F449" s="10"/>
    </row>
    <row r="450">
      <c r="C450" s="34"/>
      <c r="F450" s="10"/>
    </row>
    <row r="451">
      <c r="C451" s="34"/>
      <c r="F451" s="10"/>
    </row>
    <row r="452">
      <c r="C452" s="34"/>
      <c r="F452" s="10"/>
    </row>
    <row r="453">
      <c r="C453" s="34"/>
      <c r="F453" s="10"/>
    </row>
    <row r="454">
      <c r="C454" s="34"/>
      <c r="F454" s="10"/>
    </row>
    <row r="455">
      <c r="C455" s="34"/>
      <c r="F455" s="10"/>
    </row>
    <row r="456">
      <c r="C456" s="34"/>
      <c r="F456" s="10"/>
    </row>
    <row r="457">
      <c r="C457" s="34"/>
      <c r="F457" s="10"/>
    </row>
    <row r="458">
      <c r="C458" s="34"/>
      <c r="F458" s="10"/>
    </row>
    <row r="459">
      <c r="C459" s="34"/>
      <c r="F459" s="10"/>
    </row>
    <row r="460">
      <c r="C460" s="34"/>
      <c r="F460" s="10"/>
    </row>
    <row r="461">
      <c r="C461" s="34"/>
      <c r="F461" s="10"/>
    </row>
    <row r="462">
      <c r="C462" s="34"/>
      <c r="F462" s="10"/>
    </row>
    <row r="463">
      <c r="C463" s="34"/>
      <c r="F463" s="10"/>
    </row>
    <row r="464">
      <c r="C464" s="34"/>
      <c r="F464" s="10"/>
    </row>
    <row r="465">
      <c r="C465" s="34"/>
      <c r="F465" s="10"/>
    </row>
    <row r="466">
      <c r="C466" s="34"/>
      <c r="F466" s="10"/>
    </row>
    <row r="467">
      <c r="C467" s="34"/>
      <c r="F467" s="10"/>
    </row>
    <row r="468">
      <c r="C468" s="34"/>
      <c r="F468" s="10"/>
    </row>
    <row r="469">
      <c r="C469" s="34"/>
      <c r="F469" s="10"/>
    </row>
    <row r="470">
      <c r="C470" s="34"/>
      <c r="F470" s="10"/>
    </row>
    <row r="471">
      <c r="C471" s="34"/>
      <c r="F471" s="10"/>
    </row>
    <row r="472">
      <c r="C472" s="34"/>
      <c r="F472" s="10"/>
    </row>
    <row r="473">
      <c r="C473" s="34"/>
      <c r="F473" s="10"/>
    </row>
    <row r="474">
      <c r="C474" s="34"/>
      <c r="F474" s="10"/>
    </row>
    <row r="475">
      <c r="C475" s="34"/>
      <c r="F475" s="10"/>
    </row>
    <row r="476">
      <c r="C476" s="34"/>
      <c r="F476" s="10"/>
    </row>
    <row r="477">
      <c r="C477" s="34"/>
      <c r="F477" s="10"/>
    </row>
    <row r="478">
      <c r="C478" s="34"/>
      <c r="F478" s="10"/>
    </row>
    <row r="479">
      <c r="C479" s="34"/>
      <c r="F479" s="10"/>
    </row>
    <row r="480">
      <c r="C480" s="34"/>
      <c r="F480" s="10"/>
    </row>
    <row r="481">
      <c r="C481" s="34"/>
      <c r="F481" s="10"/>
    </row>
    <row r="482">
      <c r="C482" s="34"/>
      <c r="F482" s="10"/>
    </row>
    <row r="483">
      <c r="C483" s="34"/>
      <c r="F483" s="10"/>
    </row>
    <row r="484">
      <c r="C484" s="34"/>
      <c r="F484" s="10"/>
    </row>
    <row r="485">
      <c r="C485" s="34"/>
      <c r="F485" s="10"/>
    </row>
    <row r="486">
      <c r="C486" s="34"/>
      <c r="F486" s="10"/>
    </row>
    <row r="487">
      <c r="C487" s="34"/>
      <c r="F487" s="10"/>
    </row>
    <row r="488">
      <c r="C488" s="34"/>
      <c r="F488" s="10"/>
    </row>
    <row r="489">
      <c r="C489" s="34"/>
      <c r="F489" s="10"/>
    </row>
    <row r="490">
      <c r="C490" s="34"/>
      <c r="F490" s="10"/>
    </row>
    <row r="491">
      <c r="C491" s="34"/>
      <c r="F491" s="10"/>
    </row>
    <row r="492">
      <c r="C492" s="34"/>
      <c r="F492" s="10"/>
    </row>
    <row r="493">
      <c r="C493" s="34"/>
      <c r="F493" s="10"/>
    </row>
    <row r="494">
      <c r="C494" s="34"/>
      <c r="F494" s="10"/>
    </row>
    <row r="495">
      <c r="C495" s="34"/>
      <c r="F495" s="10"/>
    </row>
    <row r="496">
      <c r="C496" s="34"/>
      <c r="F496" s="10"/>
    </row>
    <row r="497">
      <c r="C497" s="34"/>
      <c r="F497" s="10"/>
    </row>
    <row r="498">
      <c r="C498" s="34"/>
      <c r="F498" s="10"/>
    </row>
    <row r="499">
      <c r="C499" s="34"/>
      <c r="F499" s="10"/>
    </row>
    <row r="500">
      <c r="C500" s="34"/>
      <c r="F500" s="10"/>
    </row>
    <row r="501">
      <c r="C501" s="34"/>
      <c r="F501" s="10"/>
    </row>
    <row r="502">
      <c r="C502" s="34"/>
      <c r="F502" s="10"/>
    </row>
    <row r="503">
      <c r="C503" s="34"/>
      <c r="F503" s="10"/>
    </row>
    <row r="504">
      <c r="C504" s="34"/>
      <c r="F504" s="10"/>
    </row>
    <row r="505">
      <c r="C505" s="34"/>
      <c r="F505" s="10"/>
    </row>
    <row r="506">
      <c r="C506" s="34"/>
      <c r="F506" s="10"/>
    </row>
    <row r="507">
      <c r="C507" s="34"/>
      <c r="F507" s="10"/>
    </row>
    <row r="508">
      <c r="C508" s="34"/>
      <c r="F508" s="10"/>
    </row>
    <row r="509">
      <c r="C509" s="34"/>
      <c r="F509" s="10"/>
    </row>
    <row r="510">
      <c r="C510" s="34"/>
      <c r="F510" s="10"/>
    </row>
    <row r="511">
      <c r="C511" s="34"/>
      <c r="F511" s="10"/>
    </row>
    <row r="512">
      <c r="C512" s="34"/>
      <c r="F512" s="10"/>
    </row>
    <row r="513">
      <c r="C513" s="34"/>
      <c r="F513" s="10"/>
    </row>
    <row r="514">
      <c r="C514" s="34"/>
      <c r="F514" s="10"/>
    </row>
    <row r="515">
      <c r="C515" s="34"/>
      <c r="F515" s="10"/>
    </row>
    <row r="516">
      <c r="C516" s="34"/>
      <c r="F516" s="10"/>
    </row>
    <row r="517">
      <c r="C517" s="34"/>
      <c r="F517" s="10"/>
    </row>
    <row r="518">
      <c r="C518" s="34"/>
      <c r="F518" s="10"/>
    </row>
    <row r="519">
      <c r="C519" s="34"/>
      <c r="F519" s="10"/>
    </row>
    <row r="520">
      <c r="C520" s="34"/>
      <c r="F520" s="10"/>
    </row>
    <row r="521">
      <c r="C521" s="34"/>
      <c r="F521" s="10"/>
    </row>
    <row r="522">
      <c r="C522" s="34"/>
      <c r="F522" s="10"/>
    </row>
    <row r="523">
      <c r="C523" s="34"/>
      <c r="F523" s="10"/>
    </row>
    <row r="524">
      <c r="C524" s="34"/>
      <c r="F524" s="10"/>
    </row>
    <row r="525">
      <c r="C525" s="34"/>
      <c r="F525" s="10"/>
    </row>
    <row r="526">
      <c r="C526" s="34"/>
      <c r="F526" s="10"/>
    </row>
    <row r="527">
      <c r="C527" s="34"/>
      <c r="F527" s="10"/>
    </row>
    <row r="528">
      <c r="C528" s="34"/>
      <c r="F528" s="10"/>
    </row>
    <row r="529">
      <c r="C529" s="34"/>
      <c r="F529" s="10"/>
    </row>
    <row r="530">
      <c r="C530" s="34"/>
      <c r="F530" s="10"/>
    </row>
    <row r="531">
      <c r="C531" s="34"/>
      <c r="F531" s="10"/>
    </row>
    <row r="532">
      <c r="C532" s="34"/>
      <c r="F532" s="10"/>
    </row>
    <row r="533">
      <c r="C533" s="34"/>
      <c r="F533" s="10"/>
    </row>
    <row r="534">
      <c r="C534" s="34"/>
      <c r="F534" s="10"/>
    </row>
    <row r="535">
      <c r="C535" s="34"/>
      <c r="F535" s="10"/>
    </row>
    <row r="536">
      <c r="C536" s="34"/>
      <c r="F536" s="10"/>
    </row>
    <row r="537">
      <c r="C537" s="34"/>
      <c r="F537" s="10"/>
    </row>
    <row r="538">
      <c r="C538" s="34"/>
      <c r="F538" s="10"/>
    </row>
    <row r="539">
      <c r="C539" s="34"/>
      <c r="F539" s="10"/>
    </row>
    <row r="540">
      <c r="C540" s="34"/>
      <c r="F540" s="10"/>
    </row>
    <row r="541">
      <c r="C541" s="34"/>
      <c r="F541" s="10"/>
    </row>
    <row r="542">
      <c r="C542" s="34"/>
      <c r="F542" s="10"/>
    </row>
    <row r="543">
      <c r="C543" s="34"/>
      <c r="F543" s="10"/>
    </row>
    <row r="544">
      <c r="C544" s="34"/>
      <c r="F544" s="10"/>
    </row>
    <row r="545">
      <c r="C545" s="34"/>
      <c r="F545" s="10"/>
    </row>
    <row r="546">
      <c r="C546" s="34"/>
      <c r="F546" s="10"/>
    </row>
    <row r="547">
      <c r="C547" s="34"/>
      <c r="F547" s="10"/>
    </row>
    <row r="548">
      <c r="C548" s="34"/>
      <c r="F548" s="10"/>
    </row>
    <row r="549">
      <c r="C549" s="34"/>
      <c r="F549" s="10"/>
    </row>
    <row r="550">
      <c r="C550" s="34"/>
      <c r="F550" s="10"/>
    </row>
    <row r="551">
      <c r="C551" s="34"/>
      <c r="F551" s="10"/>
    </row>
    <row r="552">
      <c r="C552" s="34"/>
      <c r="F552" s="10"/>
    </row>
    <row r="553">
      <c r="C553" s="34"/>
      <c r="F553" s="10"/>
    </row>
    <row r="554">
      <c r="C554" s="34"/>
      <c r="F554" s="10"/>
    </row>
    <row r="555">
      <c r="C555" s="34"/>
      <c r="F555" s="10"/>
    </row>
    <row r="556">
      <c r="C556" s="34"/>
      <c r="F556" s="10"/>
    </row>
    <row r="557">
      <c r="C557" s="34"/>
      <c r="F557" s="10"/>
    </row>
    <row r="558">
      <c r="C558" s="34"/>
      <c r="F558" s="10"/>
    </row>
    <row r="559">
      <c r="C559" s="34"/>
      <c r="F559" s="10"/>
    </row>
    <row r="560">
      <c r="C560" s="34"/>
      <c r="F560" s="10"/>
    </row>
    <row r="561">
      <c r="C561" s="34"/>
      <c r="F561" s="10"/>
    </row>
    <row r="562">
      <c r="C562" s="34"/>
      <c r="F562" s="10"/>
    </row>
    <row r="563">
      <c r="C563" s="34"/>
      <c r="F563" s="10"/>
    </row>
    <row r="564">
      <c r="C564" s="34"/>
      <c r="F564" s="10"/>
    </row>
    <row r="565">
      <c r="C565" s="34"/>
      <c r="F565" s="10"/>
    </row>
    <row r="566">
      <c r="C566" s="34"/>
      <c r="F566" s="10"/>
    </row>
    <row r="567">
      <c r="C567" s="34"/>
      <c r="F567" s="10"/>
    </row>
    <row r="568">
      <c r="C568" s="34"/>
      <c r="F568" s="10"/>
    </row>
    <row r="569">
      <c r="C569" s="34"/>
      <c r="F569" s="10"/>
    </row>
    <row r="570">
      <c r="C570" s="34"/>
      <c r="F570" s="10"/>
    </row>
    <row r="571">
      <c r="C571" s="34"/>
      <c r="F571" s="10"/>
    </row>
    <row r="572">
      <c r="C572" s="34"/>
      <c r="F572" s="10"/>
    </row>
    <row r="573">
      <c r="C573" s="34"/>
      <c r="F573" s="10"/>
    </row>
    <row r="574">
      <c r="C574" s="34"/>
      <c r="F574" s="10"/>
    </row>
    <row r="575">
      <c r="C575" s="34"/>
      <c r="F575" s="10"/>
    </row>
    <row r="576">
      <c r="C576" s="34"/>
      <c r="F576" s="10"/>
    </row>
    <row r="577">
      <c r="C577" s="34"/>
      <c r="F577" s="10"/>
    </row>
    <row r="578">
      <c r="C578" s="34"/>
      <c r="F578" s="10"/>
    </row>
    <row r="579">
      <c r="C579" s="34"/>
      <c r="F579" s="10"/>
    </row>
    <row r="580">
      <c r="C580" s="34"/>
      <c r="F580" s="10"/>
    </row>
    <row r="581">
      <c r="C581" s="34"/>
      <c r="F581" s="10"/>
    </row>
    <row r="582">
      <c r="C582" s="34"/>
      <c r="F582" s="10"/>
    </row>
    <row r="583">
      <c r="C583" s="34"/>
      <c r="F583" s="10"/>
    </row>
    <row r="584">
      <c r="C584" s="34"/>
      <c r="F584" s="10"/>
    </row>
    <row r="585">
      <c r="C585" s="34"/>
      <c r="F585" s="10"/>
    </row>
    <row r="586">
      <c r="C586" s="34"/>
      <c r="F586" s="10"/>
    </row>
    <row r="587">
      <c r="C587" s="34"/>
      <c r="F587" s="10"/>
    </row>
    <row r="588">
      <c r="C588" s="34"/>
      <c r="F588" s="10"/>
    </row>
    <row r="589">
      <c r="C589" s="34"/>
      <c r="F589" s="10"/>
    </row>
    <row r="590">
      <c r="C590" s="34"/>
      <c r="F590" s="10"/>
    </row>
    <row r="591">
      <c r="C591" s="34"/>
      <c r="F591" s="10"/>
    </row>
    <row r="592">
      <c r="C592" s="34"/>
      <c r="F592" s="10"/>
    </row>
    <row r="593">
      <c r="C593" s="34"/>
      <c r="F593" s="10"/>
    </row>
    <row r="594">
      <c r="C594" s="34"/>
      <c r="F594" s="10"/>
    </row>
    <row r="595">
      <c r="C595" s="34"/>
      <c r="F595" s="10"/>
    </row>
    <row r="596">
      <c r="C596" s="34"/>
      <c r="F596" s="10"/>
    </row>
    <row r="597">
      <c r="C597" s="34"/>
      <c r="F597" s="10"/>
    </row>
    <row r="598">
      <c r="C598" s="34"/>
      <c r="F598" s="10"/>
    </row>
    <row r="599">
      <c r="C599" s="34"/>
      <c r="F599" s="10"/>
    </row>
    <row r="600">
      <c r="C600" s="34"/>
      <c r="F600" s="10"/>
    </row>
    <row r="601">
      <c r="C601" s="34"/>
      <c r="F601" s="10"/>
    </row>
    <row r="602">
      <c r="C602" s="34"/>
      <c r="F602" s="10"/>
    </row>
    <row r="603">
      <c r="C603" s="34"/>
      <c r="F603" s="10"/>
    </row>
    <row r="604">
      <c r="C604" s="34"/>
      <c r="F604" s="10"/>
    </row>
    <row r="605">
      <c r="C605" s="34"/>
      <c r="F605" s="10"/>
    </row>
    <row r="606">
      <c r="C606" s="34"/>
      <c r="F606" s="10"/>
    </row>
    <row r="607">
      <c r="C607" s="34"/>
      <c r="F607" s="10"/>
    </row>
    <row r="608">
      <c r="C608" s="34"/>
      <c r="F608" s="10"/>
    </row>
    <row r="609">
      <c r="C609" s="34"/>
      <c r="F609" s="10"/>
    </row>
    <row r="610">
      <c r="C610" s="34"/>
      <c r="F610" s="10"/>
    </row>
    <row r="611">
      <c r="C611" s="34"/>
      <c r="F611" s="10"/>
    </row>
    <row r="612">
      <c r="C612" s="34"/>
      <c r="F612" s="10"/>
    </row>
    <row r="613">
      <c r="C613" s="34"/>
      <c r="F613" s="10"/>
    </row>
    <row r="614">
      <c r="C614" s="34"/>
      <c r="F614" s="10"/>
    </row>
    <row r="615">
      <c r="C615" s="34"/>
      <c r="F615" s="10"/>
    </row>
    <row r="616">
      <c r="C616" s="34"/>
      <c r="F616" s="10"/>
    </row>
    <row r="617">
      <c r="C617" s="34"/>
      <c r="F617" s="10"/>
    </row>
    <row r="618">
      <c r="C618" s="34"/>
      <c r="F618" s="10"/>
    </row>
    <row r="619">
      <c r="C619" s="34"/>
      <c r="F619" s="10"/>
    </row>
    <row r="620">
      <c r="C620" s="34"/>
      <c r="F620" s="10"/>
    </row>
    <row r="621">
      <c r="C621" s="34"/>
      <c r="F621" s="10"/>
    </row>
    <row r="622">
      <c r="C622" s="34"/>
      <c r="F622" s="10"/>
    </row>
    <row r="623">
      <c r="C623" s="34"/>
      <c r="F623" s="10"/>
    </row>
    <row r="624">
      <c r="C624" s="34"/>
      <c r="F624" s="10"/>
    </row>
    <row r="625">
      <c r="C625" s="34"/>
      <c r="F625" s="10"/>
    </row>
    <row r="626">
      <c r="C626" s="34"/>
      <c r="F626" s="10"/>
    </row>
    <row r="627">
      <c r="C627" s="34"/>
      <c r="F627" s="10"/>
    </row>
    <row r="628">
      <c r="C628" s="34"/>
      <c r="F628" s="10"/>
    </row>
    <row r="629">
      <c r="C629" s="34"/>
      <c r="F629" s="10"/>
    </row>
    <row r="630">
      <c r="C630" s="34"/>
      <c r="F630" s="10"/>
    </row>
    <row r="631">
      <c r="C631" s="34"/>
      <c r="F631" s="10"/>
    </row>
    <row r="632">
      <c r="C632" s="34"/>
      <c r="F632" s="10"/>
    </row>
    <row r="633">
      <c r="C633" s="34"/>
      <c r="F633" s="10"/>
    </row>
    <row r="634">
      <c r="C634" s="34"/>
      <c r="F634" s="10"/>
    </row>
    <row r="635">
      <c r="C635" s="34"/>
      <c r="F635" s="10"/>
    </row>
    <row r="636">
      <c r="C636" s="34"/>
      <c r="F636" s="10"/>
    </row>
    <row r="637">
      <c r="C637" s="34"/>
      <c r="F637" s="10"/>
    </row>
    <row r="638">
      <c r="C638" s="34"/>
      <c r="F638" s="10"/>
    </row>
    <row r="639">
      <c r="C639" s="34"/>
      <c r="F639" s="10"/>
    </row>
    <row r="640">
      <c r="C640" s="34"/>
      <c r="F640" s="10"/>
    </row>
    <row r="641">
      <c r="C641" s="34"/>
      <c r="F641" s="10"/>
    </row>
    <row r="642">
      <c r="C642" s="34"/>
      <c r="F642" s="10"/>
    </row>
    <row r="643">
      <c r="C643" s="34"/>
      <c r="F643" s="10"/>
    </row>
    <row r="644">
      <c r="C644" s="34"/>
      <c r="F644" s="10"/>
    </row>
    <row r="645">
      <c r="C645" s="34"/>
      <c r="F645" s="10"/>
    </row>
    <row r="646">
      <c r="C646" s="34"/>
      <c r="F646" s="10"/>
    </row>
    <row r="647">
      <c r="C647" s="34"/>
      <c r="F647" s="10"/>
    </row>
    <row r="648">
      <c r="C648" s="34"/>
      <c r="F648" s="10"/>
    </row>
    <row r="649">
      <c r="C649" s="34"/>
      <c r="F649" s="10"/>
    </row>
    <row r="650">
      <c r="C650" s="34"/>
      <c r="F650" s="10"/>
    </row>
    <row r="651">
      <c r="C651" s="34"/>
      <c r="F651" s="10"/>
    </row>
    <row r="652">
      <c r="C652" s="34"/>
      <c r="F652" s="10"/>
    </row>
    <row r="653">
      <c r="C653" s="34"/>
      <c r="F653" s="10"/>
    </row>
    <row r="654">
      <c r="C654" s="34"/>
      <c r="F654" s="10"/>
    </row>
    <row r="655">
      <c r="C655" s="34"/>
      <c r="F655" s="10"/>
    </row>
    <row r="656">
      <c r="C656" s="34"/>
      <c r="F656" s="10"/>
    </row>
    <row r="657">
      <c r="C657" s="34"/>
      <c r="F657" s="10"/>
    </row>
    <row r="658">
      <c r="C658" s="34"/>
      <c r="F658" s="10"/>
    </row>
    <row r="659">
      <c r="C659" s="34"/>
      <c r="F659" s="10"/>
    </row>
    <row r="660">
      <c r="C660" s="34"/>
      <c r="F660" s="10"/>
    </row>
    <row r="661">
      <c r="C661" s="34"/>
      <c r="F661" s="10"/>
    </row>
    <row r="662">
      <c r="C662" s="34"/>
      <c r="F662" s="10"/>
    </row>
    <row r="663">
      <c r="C663" s="34"/>
      <c r="F663" s="10"/>
    </row>
    <row r="664">
      <c r="C664" s="34"/>
      <c r="F664" s="10"/>
    </row>
    <row r="665">
      <c r="C665" s="34"/>
      <c r="F665" s="10"/>
    </row>
    <row r="666">
      <c r="C666" s="34"/>
      <c r="F666" s="10"/>
    </row>
    <row r="667">
      <c r="C667" s="34"/>
      <c r="F667" s="10"/>
    </row>
    <row r="668">
      <c r="C668" s="34"/>
      <c r="F668" s="10"/>
    </row>
    <row r="669">
      <c r="C669" s="34"/>
      <c r="F669" s="10"/>
    </row>
    <row r="670">
      <c r="C670" s="34"/>
      <c r="F670" s="10"/>
    </row>
    <row r="671">
      <c r="C671" s="34"/>
      <c r="F671" s="10"/>
    </row>
    <row r="672">
      <c r="C672" s="34"/>
      <c r="F672" s="10"/>
    </row>
    <row r="673">
      <c r="C673" s="34"/>
      <c r="F673" s="10"/>
    </row>
    <row r="674">
      <c r="C674" s="34"/>
      <c r="F674" s="10"/>
    </row>
    <row r="675">
      <c r="C675" s="34"/>
      <c r="F675" s="10"/>
    </row>
    <row r="676">
      <c r="C676" s="34"/>
      <c r="F676" s="10"/>
    </row>
    <row r="677">
      <c r="C677" s="34"/>
      <c r="F677" s="10"/>
    </row>
    <row r="678">
      <c r="C678" s="34"/>
      <c r="F678" s="10"/>
    </row>
    <row r="679">
      <c r="C679" s="34"/>
      <c r="F679" s="10"/>
    </row>
    <row r="680">
      <c r="C680" s="34"/>
      <c r="F680" s="10"/>
    </row>
    <row r="681">
      <c r="C681" s="34"/>
      <c r="F681" s="10"/>
    </row>
    <row r="682">
      <c r="C682" s="34"/>
      <c r="F682" s="10"/>
    </row>
    <row r="683">
      <c r="C683" s="34"/>
      <c r="F683" s="10"/>
    </row>
    <row r="684">
      <c r="C684" s="34"/>
      <c r="F684" s="10"/>
    </row>
    <row r="685">
      <c r="C685" s="34"/>
      <c r="F685" s="10"/>
    </row>
    <row r="686">
      <c r="C686" s="34"/>
      <c r="F686" s="10"/>
    </row>
    <row r="687">
      <c r="C687" s="34"/>
      <c r="F687" s="10"/>
    </row>
    <row r="688">
      <c r="C688" s="34"/>
      <c r="F688" s="10"/>
    </row>
    <row r="689">
      <c r="C689" s="34"/>
      <c r="F689" s="10"/>
    </row>
    <row r="690">
      <c r="C690" s="34"/>
      <c r="F690" s="10"/>
    </row>
    <row r="691">
      <c r="C691" s="34"/>
      <c r="F691" s="10"/>
    </row>
    <row r="692">
      <c r="C692" s="34"/>
      <c r="F692" s="10"/>
    </row>
    <row r="693">
      <c r="C693" s="34"/>
      <c r="F693" s="10"/>
    </row>
    <row r="694">
      <c r="C694" s="34"/>
      <c r="F694" s="10"/>
    </row>
    <row r="695">
      <c r="C695" s="34"/>
      <c r="F695" s="10"/>
    </row>
    <row r="696">
      <c r="C696" s="34"/>
      <c r="F696" s="10"/>
    </row>
    <row r="697">
      <c r="C697" s="34"/>
      <c r="F697" s="10"/>
    </row>
    <row r="698">
      <c r="C698" s="34"/>
      <c r="F698" s="10"/>
    </row>
    <row r="699">
      <c r="C699" s="34"/>
      <c r="F699" s="10"/>
    </row>
    <row r="700">
      <c r="C700" s="34"/>
      <c r="F700" s="10"/>
    </row>
    <row r="701">
      <c r="C701" s="34"/>
      <c r="F701" s="10"/>
    </row>
    <row r="702">
      <c r="C702" s="34"/>
      <c r="F702" s="10"/>
    </row>
    <row r="703">
      <c r="C703" s="34"/>
      <c r="F703" s="10"/>
    </row>
    <row r="704">
      <c r="C704" s="34"/>
      <c r="F704" s="10"/>
    </row>
    <row r="705">
      <c r="C705" s="34"/>
      <c r="F705" s="10"/>
    </row>
    <row r="706">
      <c r="C706" s="34"/>
      <c r="F706" s="10"/>
    </row>
    <row r="707">
      <c r="C707" s="34"/>
      <c r="F707" s="10"/>
    </row>
    <row r="708">
      <c r="C708" s="34"/>
      <c r="F708" s="10"/>
    </row>
    <row r="709">
      <c r="C709" s="34"/>
      <c r="F709" s="10"/>
    </row>
    <row r="710">
      <c r="C710" s="34"/>
      <c r="F710" s="10"/>
    </row>
    <row r="711">
      <c r="C711" s="34"/>
      <c r="F711" s="10"/>
    </row>
    <row r="712">
      <c r="C712" s="34"/>
      <c r="F712" s="10"/>
    </row>
    <row r="713">
      <c r="C713" s="34"/>
      <c r="F713" s="10"/>
    </row>
    <row r="714">
      <c r="C714" s="34"/>
      <c r="F714" s="10"/>
    </row>
    <row r="715">
      <c r="C715" s="34"/>
      <c r="F715" s="10"/>
    </row>
    <row r="716">
      <c r="C716" s="34"/>
      <c r="F716" s="10"/>
    </row>
    <row r="717">
      <c r="C717" s="34"/>
      <c r="F717" s="10"/>
    </row>
    <row r="718">
      <c r="C718" s="34"/>
      <c r="F718" s="10"/>
    </row>
    <row r="719">
      <c r="C719" s="34"/>
      <c r="F719" s="10"/>
    </row>
    <row r="720">
      <c r="C720" s="34"/>
      <c r="F720" s="10"/>
    </row>
    <row r="721">
      <c r="C721" s="34"/>
      <c r="F721" s="10"/>
    </row>
    <row r="722">
      <c r="C722" s="34"/>
      <c r="F722" s="10"/>
    </row>
    <row r="723">
      <c r="C723" s="34"/>
      <c r="F723" s="10"/>
    </row>
    <row r="724">
      <c r="C724" s="34"/>
      <c r="F724" s="10"/>
    </row>
    <row r="725">
      <c r="C725" s="34"/>
      <c r="F725" s="10"/>
    </row>
    <row r="726">
      <c r="C726" s="34"/>
      <c r="F726" s="10"/>
    </row>
    <row r="727">
      <c r="C727" s="34"/>
      <c r="F727" s="10"/>
    </row>
    <row r="728">
      <c r="C728" s="34"/>
      <c r="F728" s="10"/>
    </row>
    <row r="729">
      <c r="C729" s="34"/>
      <c r="F729" s="10"/>
    </row>
    <row r="730">
      <c r="C730" s="34"/>
      <c r="F730" s="10"/>
    </row>
    <row r="731">
      <c r="C731" s="34"/>
      <c r="F731" s="10"/>
    </row>
    <row r="732">
      <c r="C732" s="34"/>
      <c r="F732" s="10"/>
    </row>
    <row r="733">
      <c r="C733" s="34"/>
      <c r="F733" s="10"/>
    </row>
    <row r="734">
      <c r="C734" s="34"/>
      <c r="F734" s="10"/>
    </row>
    <row r="735">
      <c r="C735" s="34"/>
      <c r="F735" s="10"/>
    </row>
    <row r="736">
      <c r="C736" s="34"/>
      <c r="F736" s="10"/>
    </row>
    <row r="737">
      <c r="C737" s="34"/>
      <c r="F737" s="10"/>
    </row>
    <row r="738">
      <c r="C738" s="34"/>
      <c r="F738" s="10"/>
    </row>
    <row r="739">
      <c r="C739" s="34"/>
      <c r="F739" s="10"/>
    </row>
    <row r="740">
      <c r="C740" s="34"/>
      <c r="F740" s="10"/>
    </row>
    <row r="741">
      <c r="C741" s="34"/>
      <c r="F741" s="10"/>
    </row>
    <row r="742">
      <c r="C742" s="34"/>
      <c r="F742" s="10"/>
    </row>
    <row r="743">
      <c r="C743" s="34"/>
      <c r="F743" s="10"/>
    </row>
    <row r="744">
      <c r="C744" s="34"/>
      <c r="F744" s="10"/>
    </row>
    <row r="745">
      <c r="C745" s="34"/>
      <c r="F745" s="10"/>
    </row>
    <row r="746">
      <c r="C746" s="34"/>
      <c r="F746" s="10"/>
    </row>
    <row r="747">
      <c r="C747" s="34"/>
      <c r="F747" s="10"/>
    </row>
    <row r="748">
      <c r="C748" s="34"/>
      <c r="F748" s="10"/>
    </row>
    <row r="749">
      <c r="C749" s="34"/>
      <c r="F749" s="10"/>
    </row>
    <row r="750">
      <c r="C750" s="34"/>
      <c r="F750" s="10"/>
    </row>
    <row r="751">
      <c r="C751" s="34"/>
      <c r="F751" s="10"/>
    </row>
    <row r="752">
      <c r="C752" s="34"/>
      <c r="F752" s="10"/>
    </row>
    <row r="753">
      <c r="C753" s="34"/>
      <c r="F753" s="10"/>
    </row>
    <row r="754">
      <c r="C754" s="34"/>
      <c r="F754" s="10"/>
    </row>
    <row r="755">
      <c r="C755" s="34"/>
      <c r="F755" s="10"/>
    </row>
    <row r="756">
      <c r="C756" s="34"/>
      <c r="F756" s="10"/>
    </row>
    <row r="757">
      <c r="C757" s="34"/>
      <c r="F757" s="10"/>
    </row>
    <row r="758">
      <c r="C758" s="34"/>
      <c r="F758" s="10"/>
    </row>
    <row r="759">
      <c r="C759" s="34"/>
      <c r="F759" s="10"/>
    </row>
    <row r="760">
      <c r="C760" s="34"/>
      <c r="F760" s="10"/>
    </row>
    <row r="761">
      <c r="C761" s="34"/>
      <c r="F761" s="10"/>
    </row>
    <row r="762">
      <c r="C762" s="34"/>
      <c r="F762" s="10"/>
    </row>
    <row r="763">
      <c r="C763" s="34"/>
      <c r="F763" s="10"/>
    </row>
    <row r="764">
      <c r="C764" s="34"/>
      <c r="F764" s="10"/>
    </row>
    <row r="765">
      <c r="C765" s="34"/>
      <c r="F765" s="10"/>
    </row>
    <row r="766">
      <c r="C766" s="34"/>
      <c r="F766" s="10"/>
    </row>
    <row r="767">
      <c r="C767" s="34"/>
      <c r="F767" s="10"/>
    </row>
    <row r="768">
      <c r="C768" s="34"/>
      <c r="F768" s="10"/>
    </row>
    <row r="769">
      <c r="C769" s="34"/>
      <c r="F769" s="10"/>
    </row>
    <row r="770">
      <c r="C770" s="34"/>
      <c r="F770" s="10"/>
    </row>
    <row r="771">
      <c r="C771" s="34"/>
      <c r="F771" s="10"/>
    </row>
    <row r="772">
      <c r="C772" s="34"/>
      <c r="F772" s="10"/>
    </row>
    <row r="773">
      <c r="C773" s="34"/>
      <c r="F773" s="10"/>
    </row>
    <row r="774">
      <c r="C774" s="34"/>
      <c r="F774" s="10"/>
    </row>
    <row r="775">
      <c r="C775" s="34"/>
      <c r="F775" s="10"/>
    </row>
    <row r="776">
      <c r="C776" s="34"/>
      <c r="F776" s="10"/>
    </row>
    <row r="777">
      <c r="C777" s="34"/>
      <c r="F777" s="10"/>
    </row>
    <row r="778">
      <c r="C778" s="34"/>
      <c r="F778" s="10"/>
    </row>
    <row r="779">
      <c r="C779" s="34"/>
      <c r="F779" s="10"/>
    </row>
    <row r="780">
      <c r="C780" s="34"/>
      <c r="F780" s="10"/>
    </row>
    <row r="781">
      <c r="C781" s="34"/>
      <c r="F781" s="10"/>
    </row>
    <row r="782">
      <c r="C782" s="34"/>
      <c r="F782" s="10"/>
    </row>
    <row r="783">
      <c r="C783" s="34"/>
      <c r="F783" s="10"/>
    </row>
    <row r="784">
      <c r="C784" s="34"/>
      <c r="F784" s="10"/>
    </row>
    <row r="785">
      <c r="C785" s="34"/>
      <c r="F785" s="10"/>
    </row>
    <row r="786">
      <c r="C786" s="34"/>
      <c r="F786" s="10"/>
    </row>
    <row r="787">
      <c r="C787" s="34"/>
      <c r="F787" s="10"/>
    </row>
    <row r="788">
      <c r="C788" s="34"/>
      <c r="F788" s="10"/>
    </row>
    <row r="789">
      <c r="C789" s="34"/>
      <c r="F789" s="10"/>
    </row>
    <row r="790">
      <c r="C790" s="34"/>
      <c r="F790" s="10"/>
    </row>
    <row r="791">
      <c r="C791" s="34"/>
      <c r="F791" s="10"/>
    </row>
    <row r="792">
      <c r="C792" s="34"/>
      <c r="F792" s="10"/>
    </row>
    <row r="793">
      <c r="C793" s="34"/>
      <c r="F793" s="10"/>
    </row>
    <row r="794">
      <c r="C794" s="34"/>
      <c r="F794" s="10"/>
    </row>
    <row r="795">
      <c r="C795" s="34"/>
      <c r="F795" s="10"/>
    </row>
    <row r="796">
      <c r="C796" s="34"/>
      <c r="F796" s="10"/>
    </row>
    <row r="797">
      <c r="C797" s="34"/>
      <c r="F797" s="10"/>
    </row>
    <row r="798">
      <c r="C798" s="34"/>
      <c r="F798" s="10"/>
    </row>
    <row r="799">
      <c r="C799" s="34"/>
      <c r="F799" s="10"/>
    </row>
    <row r="800">
      <c r="C800" s="34"/>
      <c r="F800" s="10"/>
    </row>
    <row r="801">
      <c r="C801" s="34"/>
      <c r="F801" s="10"/>
    </row>
    <row r="802">
      <c r="C802" s="34"/>
      <c r="F802" s="10"/>
    </row>
    <row r="803">
      <c r="C803" s="34"/>
      <c r="F803" s="10"/>
    </row>
    <row r="804">
      <c r="C804" s="34"/>
      <c r="F804" s="10"/>
    </row>
    <row r="805">
      <c r="C805" s="34"/>
      <c r="F805" s="10"/>
    </row>
    <row r="806">
      <c r="C806" s="34"/>
      <c r="F806" s="10"/>
    </row>
    <row r="807">
      <c r="C807" s="34"/>
      <c r="F807" s="10"/>
    </row>
    <row r="808">
      <c r="C808" s="34"/>
      <c r="F808" s="10"/>
    </row>
    <row r="809">
      <c r="C809" s="34"/>
      <c r="F809" s="10"/>
    </row>
    <row r="810">
      <c r="C810" s="34"/>
      <c r="F810" s="10"/>
    </row>
    <row r="811">
      <c r="C811" s="34"/>
      <c r="F811" s="10"/>
    </row>
    <row r="812">
      <c r="C812" s="34"/>
      <c r="F812" s="10"/>
    </row>
    <row r="813">
      <c r="C813" s="34"/>
      <c r="F813" s="10"/>
    </row>
    <row r="814">
      <c r="C814" s="34"/>
      <c r="F814" s="10"/>
    </row>
    <row r="815">
      <c r="C815" s="34"/>
      <c r="F815" s="10"/>
    </row>
    <row r="816">
      <c r="C816" s="34"/>
      <c r="F816" s="10"/>
    </row>
    <row r="817">
      <c r="C817" s="34"/>
      <c r="F817" s="10"/>
    </row>
    <row r="818">
      <c r="C818" s="34"/>
      <c r="F818" s="10"/>
    </row>
    <row r="819">
      <c r="C819" s="34"/>
      <c r="F819" s="10"/>
    </row>
    <row r="820">
      <c r="C820" s="34"/>
      <c r="F820" s="10"/>
    </row>
    <row r="821">
      <c r="C821" s="34"/>
      <c r="F821" s="10"/>
    </row>
    <row r="822">
      <c r="C822" s="34"/>
      <c r="F822" s="10"/>
    </row>
    <row r="823">
      <c r="C823" s="34"/>
      <c r="F823" s="10"/>
    </row>
    <row r="824">
      <c r="C824" s="34"/>
      <c r="F824" s="10"/>
    </row>
    <row r="825">
      <c r="C825" s="34"/>
      <c r="F825" s="10"/>
    </row>
    <row r="826">
      <c r="C826" s="34"/>
      <c r="F826" s="10"/>
    </row>
    <row r="827">
      <c r="C827" s="34"/>
      <c r="F827" s="10"/>
    </row>
    <row r="828">
      <c r="C828" s="34"/>
      <c r="F828" s="10"/>
    </row>
    <row r="829">
      <c r="C829" s="34"/>
      <c r="F829" s="10"/>
    </row>
    <row r="830">
      <c r="C830" s="34"/>
      <c r="F830" s="10"/>
    </row>
    <row r="831">
      <c r="C831" s="34"/>
      <c r="F831" s="10"/>
    </row>
    <row r="832">
      <c r="C832" s="34"/>
      <c r="F832" s="10"/>
    </row>
    <row r="833">
      <c r="C833" s="34"/>
      <c r="F833" s="10"/>
    </row>
    <row r="834">
      <c r="C834" s="34"/>
      <c r="F834" s="10"/>
    </row>
    <row r="835">
      <c r="C835" s="34"/>
      <c r="F835" s="10"/>
    </row>
    <row r="836">
      <c r="C836" s="34"/>
      <c r="F836" s="10"/>
    </row>
    <row r="837">
      <c r="C837" s="34"/>
      <c r="F837" s="10"/>
    </row>
    <row r="838">
      <c r="C838" s="34"/>
      <c r="F838" s="10"/>
    </row>
    <row r="839">
      <c r="C839" s="34"/>
      <c r="F839" s="10"/>
    </row>
    <row r="840">
      <c r="C840" s="34"/>
      <c r="F840" s="10"/>
    </row>
    <row r="841">
      <c r="C841" s="34"/>
      <c r="F841" s="10"/>
    </row>
    <row r="842">
      <c r="C842" s="34"/>
      <c r="F842" s="10"/>
    </row>
    <row r="843">
      <c r="C843" s="34"/>
      <c r="F843" s="10"/>
    </row>
    <row r="844">
      <c r="C844" s="34"/>
      <c r="F844" s="10"/>
    </row>
    <row r="845">
      <c r="C845" s="34"/>
      <c r="F845" s="10"/>
    </row>
    <row r="846">
      <c r="C846" s="34"/>
      <c r="F846" s="10"/>
    </row>
    <row r="847">
      <c r="C847" s="34"/>
      <c r="F847" s="10"/>
    </row>
    <row r="848">
      <c r="C848" s="34"/>
      <c r="F848" s="10"/>
    </row>
    <row r="849">
      <c r="C849" s="34"/>
      <c r="F849" s="10"/>
    </row>
    <row r="850">
      <c r="C850" s="34"/>
      <c r="F850" s="10"/>
    </row>
    <row r="851">
      <c r="C851" s="34"/>
      <c r="F851" s="10"/>
    </row>
    <row r="852">
      <c r="C852" s="34"/>
      <c r="F852" s="10"/>
    </row>
    <row r="853">
      <c r="C853" s="34"/>
      <c r="F853" s="10"/>
    </row>
    <row r="854">
      <c r="C854" s="34"/>
      <c r="F854" s="10"/>
    </row>
    <row r="855">
      <c r="C855" s="34"/>
      <c r="F855" s="10"/>
    </row>
    <row r="856">
      <c r="C856" s="34"/>
      <c r="F856" s="10"/>
    </row>
    <row r="857">
      <c r="C857" s="34"/>
      <c r="F857" s="10"/>
    </row>
    <row r="858">
      <c r="C858" s="34"/>
      <c r="F858" s="10"/>
    </row>
    <row r="859">
      <c r="C859" s="34"/>
      <c r="F859" s="10"/>
    </row>
    <row r="860">
      <c r="C860" s="34"/>
      <c r="F860" s="10"/>
    </row>
    <row r="861">
      <c r="C861" s="34"/>
      <c r="F861" s="10"/>
    </row>
    <row r="862">
      <c r="C862" s="34"/>
      <c r="F862" s="10"/>
    </row>
    <row r="863">
      <c r="C863" s="34"/>
      <c r="F863" s="10"/>
    </row>
    <row r="864">
      <c r="C864" s="34"/>
      <c r="F864" s="10"/>
    </row>
    <row r="865">
      <c r="C865" s="34"/>
      <c r="F865" s="10"/>
    </row>
    <row r="866">
      <c r="C866" s="34"/>
      <c r="F866" s="10"/>
    </row>
    <row r="867">
      <c r="C867" s="34"/>
      <c r="F867" s="10"/>
    </row>
    <row r="868">
      <c r="C868" s="34"/>
      <c r="F868" s="10"/>
    </row>
    <row r="869">
      <c r="C869" s="34"/>
      <c r="F869" s="10"/>
    </row>
    <row r="870">
      <c r="C870" s="34"/>
      <c r="F870" s="10"/>
    </row>
    <row r="871">
      <c r="C871" s="34"/>
      <c r="F871" s="10"/>
    </row>
    <row r="872">
      <c r="C872" s="34"/>
      <c r="F872" s="10"/>
    </row>
    <row r="873">
      <c r="C873" s="34"/>
      <c r="F873" s="10"/>
    </row>
    <row r="874">
      <c r="C874" s="34"/>
      <c r="F874" s="10"/>
    </row>
    <row r="875">
      <c r="C875" s="34"/>
      <c r="F875" s="10"/>
    </row>
    <row r="876">
      <c r="C876" s="34"/>
      <c r="F876" s="10"/>
    </row>
    <row r="877">
      <c r="C877" s="34"/>
      <c r="F877" s="10"/>
    </row>
    <row r="878">
      <c r="C878" s="34"/>
      <c r="F878" s="10"/>
    </row>
    <row r="879">
      <c r="C879" s="34"/>
      <c r="F879" s="10"/>
    </row>
    <row r="880">
      <c r="C880" s="34"/>
      <c r="F880" s="10"/>
    </row>
    <row r="881">
      <c r="C881" s="34"/>
      <c r="F881" s="10"/>
    </row>
    <row r="882">
      <c r="C882" s="34"/>
      <c r="F882" s="10"/>
    </row>
    <row r="883">
      <c r="C883" s="34"/>
      <c r="F883" s="10"/>
    </row>
    <row r="884">
      <c r="C884" s="34"/>
      <c r="F884" s="10"/>
    </row>
    <row r="885">
      <c r="C885" s="34"/>
      <c r="F885" s="10"/>
    </row>
    <row r="886">
      <c r="C886" s="34"/>
      <c r="F886" s="10"/>
    </row>
    <row r="887">
      <c r="C887" s="34"/>
      <c r="F887" s="10"/>
    </row>
    <row r="888">
      <c r="C888" s="34"/>
      <c r="F888" s="10"/>
    </row>
    <row r="889">
      <c r="C889" s="34"/>
      <c r="F889" s="10"/>
    </row>
    <row r="890">
      <c r="C890" s="34"/>
      <c r="F890" s="10"/>
    </row>
    <row r="891">
      <c r="C891" s="34"/>
      <c r="F891" s="10"/>
    </row>
    <row r="892">
      <c r="C892" s="34"/>
      <c r="F892" s="10"/>
    </row>
    <row r="893">
      <c r="C893" s="34"/>
      <c r="F893" s="10"/>
    </row>
    <row r="894">
      <c r="C894" s="34"/>
      <c r="F894" s="10"/>
    </row>
    <row r="895">
      <c r="C895" s="34"/>
      <c r="F895" s="10"/>
    </row>
    <row r="896">
      <c r="C896" s="34"/>
      <c r="F896" s="10"/>
    </row>
    <row r="897">
      <c r="C897" s="34"/>
      <c r="F897" s="10"/>
    </row>
    <row r="898">
      <c r="C898" s="34"/>
      <c r="F898" s="10"/>
    </row>
    <row r="899">
      <c r="C899" s="34"/>
      <c r="F899" s="10"/>
    </row>
    <row r="900">
      <c r="C900" s="34"/>
      <c r="F900" s="10"/>
    </row>
    <row r="901">
      <c r="C901" s="34"/>
      <c r="F901" s="10"/>
    </row>
    <row r="902">
      <c r="C902" s="34"/>
      <c r="F902" s="10"/>
    </row>
    <row r="903">
      <c r="C903" s="34"/>
      <c r="F903" s="10"/>
    </row>
    <row r="904">
      <c r="C904" s="34"/>
      <c r="F904" s="10"/>
    </row>
    <row r="905">
      <c r="C905" s="34"/>
      <c r="F905" s="10"/>
    </row>
    <row r="906">
      <c r="C906" s="34"/>
      <c r="F906" s="10"/>
    </row>
    <row r="907">
      <c r="C907" s="34"/>
      <c r="F907" s="10"/>
    </row>
    <row r="908">
      <c r="C908" s="34"/>
      <c r="F908" s="10"/>
    </row>
    <row r="909">
      <c r="C909" s="34"/>
      <c r="F909" s="10"/>
    </row>
    <row r="910">
      <c r="C910" s="34"/>
      <c r="F910" s="10"/>
    </row>
    <row r="911">
      <c r="C911" s="34"/>
      <c r="F911" s="10"/>
    </row>
    <row r="912">
      <c r="C912" s="34"/>
      <c r="F912" s="10"/>
    </row>
    <row r="913">
      <c r="C913" s="34"/>
      <c r="F913" s="10"/>
    </row>
    <row r="914">
      <c r="C914" s="34"/>
      <c r="F914" s="10"/>
    </row>
    <row r="915">
      <c r="C915" s="34"/>
      <c r="F915" s="10"/>
    </row>
    <row r="916">
      <c r="C916" s="34"/>
      <c r="F916" s="10"/>
    </row>
    <row r="917">
      <c r="C917" s="34"/>
      <c r="F917" s="10"/>
    </row>
    <row r="918">
      <c r="C918" s="34"/>
      <c r="F918" s="10"/>
    </row>
    <row r="919">
      <c r="C919" s="34"/>
      <c r="F919" s="10"/>
    </row>
    <row r="920">
      <c r="C920" s="34"/>
      <c r="F920" s="10"/>
    </row>
    <row r="921">
      <c r="C921" s="34"/>
      <c r="F921" s="10"/>
    </row>
    <row r="922">
      <c r="C922" s="34"/>
      <c r="F922" s="10"/>
    </row>
    <row r="923">
      <c r="C923" s="34"/>
      <c r="F923" s="10"/>
    </row>
    <row r="924">
      <c r="C924" s="34"/>
      <c r="F924" s="10"/>
    </row>
    <row r="925">
      <c r="C925" s="34"/>
      <c r="F925" s="10"/>
    </row>
    <row r="926">
      <c r="C926" s="34"/>
      <c r="F926" s="10"/>
    </row>
    <row r="927">
      <c r="C927" s="34"/>
      <c r="F927" s="10"/>
    </row>
    <row r="928">
      <c r="C928" s="34"/>
      <c r="F928" s="10"/>
    </row>
    <row r="929">
      <c r="C929" s="34"/>
      <c r="F929" s="10"/>
    </row>
    <row r="930">
      <c r="C930" s="34"/>
      <c r="F930" s="10"/>
    </row>
    <row r="931">
      <c r="C931" s="34"/>
      <c r="F931" s="10"/>
    </row>
    <row r="932">
      <c r="C932" s="34"/>
      <c r="F932" s="10"/>
    </row>
    <row r="933">
      <c r="C933" s="34"/>
      <c r="F933" s="10"/>
    </row>
    <row r="934">
      <c r="C934" s="34"/>
      <c r="F934" s="10"/>
    </row>
    <row r="935">
      <c r="C935" s="34"/>
      <c r="F935" s="10"/>
    </row>
    <row r="936">
      <c r="C936" s="34"/>
      <c r="F936" s="10"/>
    </row>
    <row r="937">
      <c r="C937" s="34"/>
      <c r="F937" s="10"/>
    </row>
    <row r="938">
      <c r="C938" s="34"/>
      <c r="F938" s="10"/>
    </row>
    <row r="939">
      <c r="C939" s="34"/>
      <c r="F939" s="10"/>
    </row>
    <row r="940">
      <c r="C940" s="34"/>
      <c r="F940" s="10"/>
    </row>
    <row r="941">
      <c r="C941" s="34"/>
      <c r="F941" s="10"/>
    </row>
    <row r="942">
      <c r="C942" s="34"/>
      <c r="F942" s="10"/>
    </row>
    <row r="943">
      <c r="C943" s="34"/>
      <c r="F943" s="10"/>
    </row>
    <row r="944">
      <c r="C944" s="34"/>
      <c r="F944" s="10"/>
    </row>
    <row r="945">
      <c r="C945" s="34"/>
      <c r="F945" s="10"/>
    </row>
    <row r="946">
      <c r="C946" s="34"/>
      <c r="F946" s="10"/>
    </row>
    <row r="947">
      <c r="C947" s="34"/>
      <c r="F947" s="10"/>
    </row>
    <row r="948">
      <c r="C948" s="34"/>
      <c r="F948" s="10"/>
    </row>
    <row r="949">
      <c r="C949" s="34"/>
      <c r="F949" s="10"/>
    </row>
    <row r="950">
      <c r="C950" s="34"/>
      <c r="F950" s="10"/>
    </row>
    <row r="951">
      <c r="C951" s="34"/>
      <c r="F951" s="10"/>
    </row>
    <row r="952">
      <c r="C952" s="34"/>
      <c r="F952" s="10"/>
    </row>
    <row r="953">
      <c r="C953" s="34"/>
      <c r="F953" s="10"/>
    </row>
    <row r="954">
      <c r="C954" s="34"/>
      <c r="F954" s="10"/>
    </row>
    <row r="955">
      <c r="C955" s="34"/>
      <c r="F955" s="10"/>
    </row>
    <row r="956">
      <c r="C956" s="34"/>
      <c r="F956" s="10"/>
    </row>
    <row r="957">
      <c r="C957" s="34"/>
      <c r="F957" s="10"/>
    </row>
    <row r="958">
      <c r="C958" s="34"/>
      <c r="F958" s="10"/>
    </row>
    <row r="959">
      <c r="C959" s="34"/>
      <c r="F959" s="10"/>
    </row>
    <row r="960">
      <c r="C960" s="34"/>
      <c r="F960" s="10"/>
    </row>
    <row r="961">
      <c r="C961" s="34"/>
      <c r="F961" s="10"/>
    </row>
    <row r="962">
      <c r="C962" s="34"/>
      <c r="F962" s="10"/>
    </row>
    <row r="963">
      <c r="C963" s="34"/>
      <c r="F963" s="10"/>
    </row>
    <row r="964">
      <c r="C964" s="34"/>
      <c r="F964" s="10"/>
    </row>
    <row r="965">
      <c r="C965" s="34"/>
      <c r="F965" s="10"/>
    </row>
    <row r="966">
      <c r="C966" s="34"/>
      <c r="F966" s="10"/>
    </row>
    <row r="967">
      <c r="C967" s="34"/>
      <c r="F967" s="10"/>
    </row>
    <row r="968">
      <c r="C968" s="34"/>
      <c r="F968" s="10"/>
    </row>
    <row r="969">
      <c r="C969" s="34"/>
      <c r="F969" s="10"/>
    </row>
    <row r="970">
      <c r="C970" s="34"/>
      <c r="F970" s="10"/>
    </row>
    <row r="971">
      <c r="C971" s="34"/>
      <c r="F971" s="10"/>
    </row>
    <row r="972">
      <c r="C972" s="34"/>
      <c r="F972" s="10"/>
    </row>
    <row r="973">
      <c r="C973" s="34"/>
      <c r="F973" s="10"/>
    </row>
    <row r="974">
      <c r="C974" s="34"/>
      <c r="F974" s="10"/>
    </row>
    <row r="975">
      <c r="C975" s="34"/>
      <c r="F975" s="10"/>
    </row>
    <row r="976">
      <c r="C976" s="34"/>
      <c r="F976" s="10"/>
    </row>
    <row r="977">
      <c r="C977" s="34"/>
      <c r="F977" s="10"/>
    </row>
    <row r="978">
      <c r="C978" s="34"/>
      <c r="F978" s="10"/>
    </row>
    <row r="979">
      <c r="C979" s="34"/>
      <c r="F979" s="10"/>
    </row>
    <row r="980">
      <c r="C980" s="34"/>
      <c r="F980" s="10"/>
    </row>
    <row r="981">
      <c r="C981" s="34"/>
      <c r="F981" s="10"/>
    </row>
    <row r="982">
      <c r="C982" s="34"/>
      <c r="F982" s="10"/>
    </row>
    <row r="983">
      <c r="C983" s="34"/>
      <c r="F983" s="10"/>
    </row>
    <row r="984">
      <c r="C984" s="34"/>
      <c r="F984" s="10"/>
    </row>
    <row r="985">
      <c r="C985" s="34"/>
      <c r="F985" s="10"/>
    </row>
    <row r="986">
      <c r="C986" s="34"/>
      <c r="F986" s="10"/>
    </row>
    <row r="987">
      <c r="C987" s="34"/>
      <c r="F987" s="10"/>
    </row>
    <row r="988">
      <c r="C988" s="34"/>
      <c r="F988" s="10"/>
    </row>
    <row r="989">
      <c r="C989" s="34"/>
      <c r="F989" s="10"/>
    </row>
    <row r="990">
      <c r="C990" s="34"/>
      <c r="F990" s="10"/>
    </row>
    <row r="991">
      <c r="C991" s="34"/>
      <c r="F991" s="10"/>
    </row>
    <row r="992">
      <c r="C992" s="34"/>
      <c r="F992" s="10"/>
    </row>
    <row r="993">
      <c r="C993" s="34"/>
      <c r="F993" s="10"/>
    </row>
    <row r="994">
      <c r="C994" s="34"/>
      <c r="F994" s="10"/>
    </row>
    <row r="995">
      <c r="C995" s="34"/>
      <c r="F995" s="10"/>
    </row>
    <row r="996">
      <c r="C996" s="34"/>
      <c r="F996" s="10"/>
    </row>
    <row r="997">
      <c r="C997" s="34"/>
      <c r="F997" s="10"/>
    </row>
    <row r="998">
      <c r="C998" s="34"/>
      <c r="F998" s="10"/>
    </row>
    <row r="999">
      <c r="C999" s="34"/>
      <c r="F999" s="10"/>
    </row>
  </sheetData>
  <drawing r:id="rId1"/>
</worksheet>
</file>